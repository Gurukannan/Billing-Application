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trlProps/ctrlProp9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5.xml" ContentType="application/vnd.openxmlformats-officedocument.drawing+xml"/>
  <Override PartName="/xl/customProperty5.bin" ContentType="application/vnd.openxmlformats-officedocument.spreadsheetml.customProperty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0" windowHeight="7755" tabRatio="647" firstSheet="1" activeTab="3"/>
  </bookViews>
  <sheets>
    <sheet name="Vendor Creation Form" sheetId="3" r:id="rId1"/>
    <sheet name="VENDOR DB" sheetId="2" r:id="rId2"/>
    <sheet name="Vendor Payment Form" sheetId="4" r:id="rId3"/>
    <sheet name="PAYMENT FORM DB" sheetId="5" r:id="rId4"/>
    <sheet name="Deleted Records" sheetId="9" r:id="rId5"/>
    <sheet name="Master" sheetId="6" r:id="rId6"/>
    <sheet name="Sheet2" sheetId="8" r:id="rId7"/>
  </sheets>
  <definedNames>
    <definedName name="_xlnm._FilterDatabase" localSheetId="6" hidden="1">Sheet2!$A$1:$B$39</definedName>
    <definedName name="Bill_num">OFFSET('PAYMENT FORM DB'!#REF!,1,0,COUNTA('PAYMENT FORM DB'!$A:$A)-6,1)</definedName>
    <definedName name="Dept">Master!$A$1:$A$16</definedName>
    <definedName name="Locator" localSheetId="0">'Vendor Creation Form'!$DX$32768</definedName>
    <definedName name="Locator" localSheetId="2">'Vendor Payment Form'!$LCA$524289</definedName>
    <definedName name="Locator">'VENDOR DB'!$LCB$524288</definedName>
    <definedName name="Lookup_table">OFFSET('VENDOR DB'!$A$11,0,0,COUNTA('VENDOR DB'!$A:$A)-5,COUNTA('VENDOR DB'!1048576:1048576))</definedName>
    <definedName name="VENDOR_GROUPING">Master!$D$1:$D$13</definedName>
    <definedName name="VENDOR_NAME">OFFSET('VENDOR DB'!$A$11,1,0,COUNT('VENDOR DB'!$A:$A)-4,1)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4" l="1"/>
  <c r="D27" i="4"/>
  <c r="D26" i="4"/>
  <c r="D25" i="4"/>
  <c r="D24" i="4"/>
  <c r="A6" i="5" l="1"/>
  <c r="B21" i="4" l="1"/>
  <c r="B18" i="4"/>
  <c r="B16" i="4"/>
  <c r="A4" i="5"/>
  <c r="E18" i="4" l="1"/>
  <c r="B7" i="5"/>
  <c r="B6" i="5"/>
  <c r="A3" i="5"/>
  <c r="A3" i="2"/>
  <c r="E10" i="3"/>
  <c r="A5" i="5"/>
  <c r="B6" i="2"/>
  <c r="E35" i="4"/>
  <c r="F8" i="4"/>
  <c r="E16" i="4"/>
  <c r="F7" i="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1" i="8"/>
  <c r="A5" i="2"/>
  <c r="D29" i="4"/>
  <c r="B29" i="4"/>
  <c r="B27" i="4"/>
  <c r="B26" i="4"/>
  <c r="B25" i="4"/>
  <c r="B24" i="4"/>
  <c r="B28" i="4"/>
  <c r="D23" i="4"/>
  <c r="B23" i="4"/>
  <c r="D22" i="4"/>
  <c r="B22" i="4"/>
  <c r="D21" i="4"/>
  <c r="B14" i="4"/>
  <c r="E10" i="4"/>
  <c r="B10" i="4"/>
  <c r="B8" i="4"/>
  <c r="A4" i="2"/>
  <c r="E52" i="3"/>
  <c r="E50" i="3"/>
  <c r="E48" i="3"/>
  <c r="E46" i="3"/>
  <c r="E42" i="3"/>
  <c r="E40" i="3"/>
  <c r="E38" i="3"/>
  <c r="E36" i="3"/>
  <c r="E34" i="3"/>
  <c r="E30" i="3"/>
  <c r="E28" i="3"/>
  <c r="E26" i="3"/>
  <c r="E22" i="3"/>
  <c r="E20" i="3"/>
  <c r="E18" i="3"/>
  <c r="E16" i="3"/>
  <c r="E14" i="3"/>
  <c r="E12" i="3"/>
  <c r="E8" i="3"/>
</calcChain>
</file>

<file path=xl/sharedStrings.xml><?xml version="1.0" encoding="utf-8"?>
<sst xmlns="http://schemas.openxmlformats.org/spreadsheetml/2006/main" count="2052" uniqueCount="589">
  <si>
    <t xml:space="preserve">VENDOR CREATION FORM </t>
  </si>
  <si>
    <t>General Details</t>
  </si>
  <si>
    <t>Originating Department :</t>
  </si>
  <si>
    <t>Vendor Code :</t>
  </si>
  <si>
    <t>Vendor Grouping :</t>
  </si>
  <si>
    <t xml:space="preserve">Name of the Vendor/Contractor/Service Provider : </t>
  </si>
  <si>
    <t>Nature of Business :</t>
  </si>
  <si>
    <t>Office Address:</t>
  </si>
  <si>
    <t>Telephone Number :</t>
  </si>
  <si>
    <t>Factory Address (if any) :</t>
  </si>
  <si>
    <t>Statutory Details</t>
  </si>
  <si>
    <t>Permanent Account Number (PAN) :</t>
  </si>
  <si>
    <t>Goods &amp; Service Tax No (GST) :</t>
  </si>
  <si>
    <t>MSME Registration Details :</t>
  </si>
  <si>
    <t>Bank Details</t>
  </si>
  <si>
    <t>Account Name :</t>
  </si>
  <si>
    <t xml:space="preserve">Bank Account Number : </t>
  </si>
  <si>
    <t xml:space="preserve">Name of the Bank : </t>
  </si>
  <si>
    <t xml:space="preserve">Name of the Bank Branch : </t>
  </si>
  <si>
    <t xml:space="preserve">IFSC Code : </t>
  </si>
  <si>
    <t>Contact Details</t>
  </si>
  <si>
    <t xml:space="preserve">Contact Person &amp; Number - Sales </t>
  </si>
  <si>
    <t xml:space="preserve">Contact Person &amp; Number - Accounts </t>
  </si>
  <si>
    <t xml:space="preserve">E Mail ID  - Sales </t>
  </si>
  <si>
    <t xml:space="preserve">E Mail ID  - Accounts </t>
  </si>
  <si>
    <t>SERIAL NUMBER</t>
  </si>
  <si>
    <t>ORIGINATING DEPARTMENT</t>
  </si>
  <si>
    <t>NAME OF THE VENDOR</t>
  </si>
  <si>
    <t>NATURE OF BUSINESS</t>
  </si>
  <si>
    <t>OFFICE ADDRESS</t>
  </si>
  <si>
    <t>TELEPHONE NUMBER</t>
  </si>
  <si>
    <t>FACTORY ADDRESS(IF ANY)</t>
  </si>
  <si>
    <t>PAN NUMBER</t>
  </si>
  <si>
    <t>GST NUMBER</t>
  </si>
  <si>
    <t>MSME REGN DETAILS</t>
  </si>
  <si>
    <t>ACCOUNT NAME</t>
  </si>
  <si>
    <t>BANK ACCOUNT NUMBER</t>
  </si>
  <si>
    <t>NAME OF THE BANK</t>
  </si>
  <si>
    <t>NAME OF THE BANK BRANCH</t>
  </si>
  <si>
    <t>IFSC CODE</t>
  </si>
  <si>
    <t>CONTACT PERSON-SALES</t>
  </si>
  <si>
    <t>CONTACT PERSON-ACCOUNTS</t>
  </si>
  <si>
    <t>EMAIL ID - SALES</t>
  </si>
  <si>
    <t>EMAIL ID - ACCOUNTS</t>
  </si>
  <si>
    <t>VENDOR GROUPING</t>
  </si>
  <si>
    <t xml:space="preserve">VENDOR BILL APPROVAL / PAYMENT FORM </t>
  </si>
  <si>
    <t>Company &amp; Department Details</t>
  </si>
  <si>
    <t>Company :</t>
  </si>
  <si>
    <t>Date</t>
  </si>
  <si>
    <t xml:space="preserve">Project Name : </t>
  </si>
  <si>
    <t>Bill Details</t>
  </si>
  <si>
    <t>Name of Vendor / Contractor :</t>
  </si>
  <si>
    <t>PO/ WO Number &amp; Date  :</t>
  </si>
  <si>
    <t>Invoice/ RA bill/ Final bill No &amp; Date :</t>
  </si>
  <si>
    <t>GRN / Certification No &amp; date  :</t>
  </si>
  <si>
    <t>Payment Due Date :</t>
  </si>
  <si>
    <t>Particulars</t>
  </si>
  <si>
    <t>Amount (Rs )</t>
  </si>
  <si>
    <t>Remarks ( If any )</t>
  </si>
  <si>
    <t>PO/ WO value</t>
  </si>
  <si>
    <t>Cumulative value till last payment</t>
  </si>
  <si>
    <t xml:space="preserve">Current Bill value </t>
  </si>
  <si>
    <t xml:space="preserve">(ii) Retention Money </t>
  </si>
  <si>
    <t>(iii) Other recoveries</t>
  </si>
  <si>
    <t>(iv) Debit Note if any</t>
  </si>
  <si>
    <t>Net Payable</t>
  </si>
  <si>
    <t>Supporting documents attached (tick the documents available) :</t>
  </si>
  <si>
    <t>1.Original Invoice /Bill</t>
  </si>
  <si>
    <t>2.GRN Copy</t>
  </si>
  <si>
    <t>3.Delivery/Transport Challan</t>
  </si>
  <si>
    <t>4.PO/WO Copy</t>
  </si>
  <si>
    <t xml:space="preserve">5.Indent Approval </t>
  </si>
  <si>
    <t>6.Debit/Credit Note's</t>
  </si>
  <si>
    <t>7.Proof of Delivery of Services</t>
  </si>
  <si>
    <t>8.Other Documents (if Any) :</t>
  </si>
  <si>
    <t>Approval Details</t>
  </si>
  <si>
    <t>Initiated By :</t>
  </si>
  <si>
    <t>Recommended By:</t>
  </si>
  <si>
    <t>Verified By :</t>
  </si>
  <si>
    <t>Approved By :</t>
  </si>
  <si>
    <t xml:space="preserve"> Department</t>
  </si>
  <si>
    <t xml:space="preserve"> Department HOD</t>
  </si>
  <si>
    <t>Accounts Deparment</t>
  </si>
  <si>
    <t>Management</t>
  </si>
  <si>
    <t>To be updated by Finance Department</t>
  </si>
  <si>
    <t>Voucher Number :</t>
  </si>
  <si>
    <t>Accounted By :</t>
  </si>
  <si>
    <t>Cheque No :</t>
  </si>
  <si>
    <t>Voucher Date :</t>
  </si>
  <si>
    <t>Cheque Date :</t>
  </si>
  <si>
    <t>Payment By :</t>
  </si>
  <si>
    <t>Cheque Signatory :</t>
  </si>
  <si>
    <t>COMPANY</t>
  </si>
  <si>
    <t>PROJECT NAME</t>
  </si>
  <si>
    <t>NAME OF VENDOR/CONTRACTOR</t>
  </si>
  <si>
    <t>PAYMENT DUE DATE</t>
  </si>
  <si>
    <t>DATE</t>
  </si>
  <si>
    <t>PO/WO VALUE-AMOUNT (RS)</t>
  </si>
  <si>
    <t>PO/WO VALUE-REMARKS( IF ANY)</t>
  </si>
  <si>
    <t>CUMULATIVE VALUE TILL LAST PAYMENT-AMOUNT (RS)</t>
  </si>
  <si>
    <t>CUMULATIVE VALUE TILL LAST PAYMENT-REMARKS( IF ANY)</t>
  </si>
  <si>
    <t>CURRENT BILL VALUE-AMOUNT (RS)</t>
  </si>
  <si>
    <t>CURRENT BILL VALUE-REMARKS( IF ANY)</t>
  </si>
  <si>
    <t>(LESS : DEDUCTIONS)AMOUNT (RS)</t>
  </si>
  <si>
    <t>(LESS : DEDUCTIONS)REMARKS( IF ANY)</t>
  </si>
  <si>
    <t>(i) ADVANCE-AMOUNT (RS)</t>
  </si>
  <si>
    <t>(i) ADVANCE-REMARKS( IF ANY)</t>
  </si>
  <si>
    <t>(ii) RETENTION MONEY-AMOUNT (RS)</t>
  </si>
  <si>
    <t>(ii) RETENTION MONEY-REMARKS( IF ANY)</t>
  </si>
  <si>
    <t>(iii) OTHER RECOVERIES-AMOUNT (RS)</t>
  </si>
  <si>
    <t>(iii) OTHER RECOVERIES-REMARKS( IF ANY)</t>
  </si>
  <si>
    <t>(ii) DEBIT NOTE IF ANY-AMOUNT (RS)</t>
  </si>
  <si>
    <t>(ii) DEBIT NOTE IF ANY-REMARKS( IF ANY)</t>
  </si>
  <si>
    <t>NET PAYABLE-AMOUNT (RS)</t>
  </si>
  <si>
    <t>NET PAYABLE-REMARKS( IF ANY)</t>
  </si>
  <si>
    <t>PO/WO DATE</t>
  </si>
  <si>
    <t>INVOICE/RA BILL/FINAL BILL DATE</t>
  </si>
  <si>
    <t>GRN/CERTIFICATION NO</t>
  </si>
  <si>
    <t>GRN/CERTIFICATION DATE</t>
  </si>
  <si>
    <t>INVOICE/RA BILL/FINAL BILL NO</t>
  </si>
  <si>
    <t>PO/WO NO</t>
  </si>
  <si>
    <t>CRM</t>
  </si>
  <si>
    <t>ENGG</t>
  </si>
  <si>
    <t>F&amp;A</t>
  </si>
  <si>
    <t>HR</t>
  </si>
  <si>
    <t>LGL</t>
  </si>
  <si>
    <t>PR</t>
  </si>
  <si>
    <t>PUR</t>
  </si>
  <si>
    <t>COMPANY_PAYMENT</t>
  </si>
  <si>
    <t>PROJ_NAME_PAYMENT</t>
  </si>
  <si>
    <t>NAME_VENDOR_PAYMENT</t>
  </si>
  <si>
    <t>PO_NAMENUM_PAYMENT</t>
  </si>
  <si>
    <t>PO_DATE</t>
  </si>
  <si>
    <t>INVOICE_NAMENUM_PAYMENT</t>
  </si>
  <si>
    <t>INVOICE_DATE</t>
  </si>
  <si>
    <t>GRN_NAMENUM_PAYMENT</t>
  </si>
  <si>
    <t>GRN_DATE</t>
  </si>
  <si>
    <t>PAYMENT_DUE_PAYMENT</t>
  </si>
  <si>
    <t>PO_VALUE_AMOUNT_PAYMENT</t>
  </si>
  <si>
    <t>PO_VALUE_REMARKS_PAYMENT</t>
  </si>
  <si>
    <t>CUMULATIVE_VALUE_AMOUNT_PAYMENT</t>
  </si>
  <si>
    <t>CUMULATIVE_VALUE_REMARKS_PAYMENT</t>
  </si>
  <si>
    <t>CURRENT_BILL_AMOUNT_PAYMENT</t>
  </si>
  <si>
    <t>CURRENT_BILL_REMARKS_PAYMENT</t>
  </si>
  <si>
    <t>LESS_DEDUCTIONS_AMOUNT_PAYMENT</t>
  </si>
  <si>
    <t>LESS_DEDUCTIONS_REMARKS_PAYMENT</t>
  </si>
  <si>
    <t>ADVANCE_AMOUNT_PAYMENT</t>
  </si>
  <si>
    <t>ADVANCE_REMARKS_PAYMENT</t>
  </si>
  <si>
    <t>RETENTION_MONEY_AMOUNT_PAYMENT</t>
  </si>
  <si>
    <t>RETENTION_MONEY_REMARKS_PAYMENT</t>
  </si>
  <si>
    <t>OTHER_RECOVERIES_AMOUNT_PAYMENT</t>
  </si>
  <si>
    <t>OTHER_RECOVERIES_REMARKS_PAYMENT</t>
  </si>
  <si>
    <t>DEBIT_NOTE_AMOUNT_PAYMENT</t>
  </si>
  <si>
    <t>DEBIT_NOTE_REMARKS_PAYMENT</t>
  </si>
  <si>
    <t>NETPAYABLE_AMOUNT_PAYMENT</t>
  </si>
  <si>
    <t>NETPAYABLE_REMARKS_PAYMENT</t>
  </si>
  <si>
    <t>ORIGINAL_INVOICE_CB</t>
  </si>
  <si>
    <t>GRN_COPY_CB</t>
  </si>
  <si>
    <t>DELIVERY_CHALLAN_CB</t>
  </si>
  <si>
    <t>PO_COPY_CB</t>
  </si>
  <si>
    <t>INDENT_APPROVAL_CB</t>
  </si>
  <si>
    <t>DEBIT_NOTES_CB</t>
  </si>
  <si>
    <t>DELIVERY_PROOF_CB</t>
  </si>
  <si>
    <t>OTHER_DOCS_CB</t>
  </si>
  <si>
    <t>1.ORIGINAL INVOICE/BILL</t>
  </si>
  <si>
    <t>2.GRN COPY</t>
  </si>
  <si>
    <t>3.DELIVERY/TRANSPORT CHALLAN</t>
  </si>
  <si>
    <t>4.PO/WO COPY</t>
  </si>
  <si>
    <t>5.INDENT APPROVAL</t>
  </si>
  <si>
    <t>6.DEBIT/CREDIT NOTES</t>
  </si>
  <si>
    <t>7.PROOF OF DELIVERY OF SERVICES</t>
  </si>
  <si>
    <t>8.OTHER DOCUMENTS(IF ANY)</t>
  </si>
  <si>
    <t>ADMIN</t>
  </si>
  <si>
    <t>ENGINEERING</t>
  </si>
  <si>
    <t>FINANCE &amp; ACCOUNTS</t>
  </si>
  <si>
    <t>LAND AQUISITION</t>
  </si>
  <si>
    <t>LAND</t>
  </si>
  <si>
    <t>LEGAL</t>
  </si>
  <si>
    <t>MANAGEMENT</t>
  </si>
  <si>
    <t>MGMT</t>
  </si>
  <si>
    <t>OFFLINE MARKETING</t>
  </si>
  <si>
    <t>OFFMKTG</t>
  </si>
  <si>
    <t>ONLINE MARKETING</t>
  </si>
  <si>
    <t>ONMKTG</t>
  </si>
  <si>
    <t>PRODUCT DEVELOPMENT</t>
  </si>
  <si>
    <t>PRODUCT</t>
  </si>
  <si>
    <t>PUBLIC RELATIONS</t>
  </si>
  <si>
    <t>PURCHASE &amp; STORES</t>
  </si>
  <si>
    <t>SALES</t>
  </si>
  <si>
    <t>TELE - MARKETING</t>
  </si>
  <si>
    <t>TELMKTG</t>
  </si>
  <si>
    <t>SERIAL_NUM_PAYMENT</t>
  </si>
  <si>
    <t>DEPT_NAME_PAYMENT</t>
  </si>
  <si>
    <t>DATE_PAYMENT</t>
  </si>
  <si>
    <t>Bill #</t>
  </si>
  <si>
    <t>12</t>
  </si>
  <si>
    <t>VENDOR CODE-OLD</t>
  </si>
  <si>
    <t>IT DEPARTMENT</t>
  </si>
  <si>
    <t>IT</t>
  </si>
  <si>
    <t>Creditors - Approvals/ Liasion</t>
  </si>
  <si>
    <t>Creditors - Business Development</t>
  </si>
  <si>
    <t>Creditors - Finance &amp; Accounts</t>
  </si>
  <si>
    <t>Creditors - Fixed Assets</t>
  </si>
  <si>
    <t>Creditors - HR</t>
  </si>
  <si>
    <t>Creditors - Administration</t>
  </si>
  <si>
    <t>Creditors - Land</t>
  </si>
  <si>
    <t>Creditors - IT</t>
  </si>
  <si>
    <t>Creditors - Legal</t>
  </si>
  <si>
    <t>Creditors - Project - Consultants</t>
  </si>
  <si>
    <t>Creditors - Project - Contractors</t>
  </si>
  <si>
    <t>Creditors - Project - Suppliers</t>
  </si>
  <si>
    <t>Creditors - Sales &amp; Marketing</t>
  </si>
  <si>
    <t>( Less : Deductions ) 
(i) Advance</t>
  </si>
  <si>
    <t>(v) TDS</t>
  </si>
  <si>
    <t>-</t>
  </si>
  <si>
    <t>NA</t>
  </si>
  <si>
    <t>0</t>
  </si>
  <si>
    <t>ONMKTG/2019-20/1</t>
  </si>
  <si>
    <t>ONMKTG/1</t>
  </si>
  <si>
    <t>iMerge Business Solutions Private Limited</t>
  </si>
  <si>
    <t>External SMS</t>
  </si>
  <si>
    <t>20/9, Janaki Complex, Sardar Patel Road,Adyar,Chennai - 600 020</t>
  </si>
  <si>
    <t>9962000300</t>
  </si>
  <si>
    <t>33AAECI1581R1Z6</t>
  </si>
  <si>
    <t>AAECI1581R</t>
  </si>
  <si>
    <t>10-MAY-19</t>
  </si>
  <si>
    <t>UTIPL</t>
  </si>
  <si>
    <t>OXYGEN PH-III</t>
  </si>
  <si>
    <t>01-APR-19</t>
  </si>
  <si>
    <t>iM/04.19-08</t>
  </si>
  <si>
    <t>08-APR-19</t>
  </si>
  <si>
    <t>42244</t>
  </si>
  <si>
    <t>716</t>
  </si>
  <si>
    <t>41528</t>
  </si>
  <si>
    <t>ONMKTG/2</t>
  </si>
  <si>
    <t>LivHousing eServices Pvt Ltd</t>
  </si>
  <si>
    <t>Website Chat Support</t>
  </si>
  <si>
    <t>218 J.P Royale, 3rd floor, SampigeRoad, Malleswaram,Bangalore,Karnataka 560003</t>
  </si>
  <si>
    <t>8041282374</t>
  </si>
  <si>
    <t>29AACCL9468Q1ZE</t>
  </si>
  <si>
    <t>AACCL9468Q</t>
  </si>
  <si>
    <t>ONMKTG/2019-20/2</t>
  </si>
  <si>
    <t>URBANTREE</t>
  </si>
  <si>
    <t>10567</t>
  </si>
  <si>
    <t>179.1</t>
  </si>
  <si>
    <t>10387.9</t>
  </si>
  <si>
    <t>ONMKTG/2019-20/3</t>
  </si>
  <si>
    <t>167</t>
  </si>
  <si>
    <t>ONMKTG/3</t>
  </si>
  <si>
    <t>ECHOVME DIGITAL</t>
  </si>
  <si>
    <t>SEO &amp; SMM SUPPORT</t>
  </si>
  <si>
    <t xml:space="preserve">1a, Sapna trade centre, 135, poonamallee high road, Chennai, Tamilnadu 600084 </t>
  </si>
  <si>
    <t>9842532974</t>
  </si>
  <si>
    <t>33APEPS6065E1ZW</t>
  </si>
  <si>
    <t>APEPS6065E</t>
  </si>
  <si>
    <t>05-MAY-19</t>
  </si>
  <si>
    <t>1128</t>
  </si>
  <si>
    <t>20-MAY-19</t>
  </si>
  <si>
    <t>141600</t>
  </si>
  <si>
    <t>1200</t>
  </si>
  <si>
    <t>140400</t>
  </si>
  <si>
    <t>ONMKTG/4</t>
  </si>
  <si>
    <t>sms connect</t>
  </si>
  <si>
    <t>No : 5-A, Babu Jagan Road, Bala Vinayakar Extension,Arumbakkam, Chennai, Tamil Nadu 600106</t>
  </si>
  <si>
    <t>33BVGPA5617R1ZC</t>
  </si>
  <si>
    <t>BVGPA5617R</t>
  </si>
  <si>
    <t>9790115094</t>
  </si>
  <si>
    <t>ONMKTG/2019-20/4</t>
  </si>
  <si>
    <t>FANTASTIC</t>
  </si>
  <si>
    <t>16-APR-19</t>
  </si>
  <si>
    <t>INV-10212</t>
  </si>
  <si>
    <t>35400</t>
  </si>
  <si>
    <t>600</t>
  </si>
  <si>
    <t>34800</t>
  </si>
  <si>
    <t>Echovme</t>
  </si>
  <si>
    <t>918020065404139</t>
  </si>
  <si>
    <t>Axis bank</t>
  </si>
  <si>
    <t>Purusawakkam</t>
  </si>
  <si>
    <t>UTIB0000189</t>
  </si>
  <si>
    <t>ONMKTG/5</t>
  </si>
  <si>
    <t>KSL DIGITAL VENTURES LIMITED</t>
  </si>
  <si>
    <t>WEB PORTAL - LEAD GENERATION</t>
  </si>
  <si>
    <t>No 859 &amp; 860 Kasturi Buildings,Anna Salai, Chennai 600002</t>
  </si>
  <si>
    <t>33AAFCK8803M1ZA</t>
  </si>
  <si>
    <t>AAFCK8803M</t>
  </si>
  <si>
    <t>9841137618</t>
  </si>
  <si>
    <t>ONMKTG/2019-20/5</t>
  </si>
  <si>
    <t>01-JUN-2019</t>
  </si>
  <si>
    <t>OXYGEN Ph - III</t>
  </si>
  <si>
    <t>350000</t>
  </si>
  <si>
    <t>35% Oxygen Ph-III</t>
  </si>
  <si>
    <t>7000</t>
  </si>
  <si>
    <t>343000</t>
  </si>
  <si>
    <t>08-MAY-2019</t>
  </si>
  <si>
    <t>1920/TN/0107</t>
  </si>
  <si>
    <t>05-JUN-2019</t>
  </si>
  <si>
    <t>ONMKTG/2019-20/6</t>
  </si>
  <si>
    <t>OXYGEN PH-IV</t>
  </si>
  <si>
    <t>1920-TN-0107</t>
  </si>
  <si>
    <t>10-JUN-2019</t>
  </si>
  <si>
    <t>150000</t>
  </si>
  <si>
    <t>15% OXYGEN PH-IV</t>
  </si>
  <si>
    <t>3000</t>
  </si>
  <si>
    <t>147000</t>
  </si>
  <si>
    <t>ONMKTG/2019-20/7</t>
  </si>
  <si>
    <t>500000</t>
  </si>
  <si>
    <t>50% FANTASTIC</t>
  </si>
  <si>
    <t>10000</t>
  </si>
  <si>
    <t>490000</t>
  </si>
  <si>
    <t>ONMKTG/2019-20/8</t>
  </si>
  <si>
    <t>14-JUN-2019</t>
  </si>
  <si>
    <t>9133</t>
  </si>
  <si>
    <t>31-MAY-2019</t>
  </si>
  <si>
    <t>0367</t>
  </si>
  <si>
    <t>182.66</t>
  </si>
  <si>
    <t>8950.34</t>
  </si>
  <si>
    <t>CHAT SERVICE</t>
  </si>
  <si>
    <t>ONMKTG/2019-20/9</t>
  </si>
  <si>
    <t>1416</t>
  </si>
  <si>
    <t>140184</t>
  </si>
  <si>
    <t>04-JUN-2019</t>
  </si>
  <si>
    <t>1165</t>
  </si>
  <si>
    <t>19-JUN-2019</t>
  </si>
  <si>
    <t>ONMKTG/2019-20/10</t>
  </si>
  <si>
    <t>ONMKTG/6</t>
  </si>
  <si>
    <t>GOOGLE INDIA PRIVATE LIMITED</t>
  </si>
  <si>
    <t>SEM</t>
  </si>
  <si>
    <t>TOWER B, UNITECH SIGNATURE TOWER II, SECTOR 15,PART I, VILLAGE SILOKHERA,GURUGRAM, HARYANA122002</t>
  </si>
  <si>
    <t>NIL</t>
  </si>
  <si>
    <t>33AABCU2337C1ZW</t>
  </si>
  <si>
    <t>AABCU2337C</t>
  </si>
  <si>
    <t>AWESOME</t>
  </si>
  <si>
    <t>43046</t>
  </si>
  <si>
    <t>30-APR-2019</t>
  </si>
  <si>
    <t>3576880687</t>
  </si>
  <si>
    <t>29-JUN-2019</t>
  </si>
  <si>
    <t>ONMKTG/2019-20/11</t>
  </si>
  <si>
    <t>3577729789</t>
  </si>
  <si>
    <t>43968</t>
  </si>
  <si>
    <t>ONMKTG/2019-20/12</t>
  </si>
  <si>
    <t>SUPERB</t>
  </si>
  <si>
    <t>3578066251</t>
  </si>
  <si>
    <t>2160.59</t>
  </si>
  <si>
    <t>ONMKTG/2019-20/13</t>
  </si>
  <si>
    <t>WOW</t>
  </si>
  <si>
    <t>1784.37</t>
  </si>
  <si>
    <t>3576656861</t>
  </si>
  <si>
    <t>ONMKTG/7</t>
  </si>
  <si>
    <t>Einfach Solutions</t>
  </si>
  <si>
    <t xml:space="preserve">SMS </t>
  </si>
  <si>
    <t>#6, Mahalinga Road, Mahalingapuram, Nungambakkam, Chennai -  600034</t>
  </si>
  <si>
    <t>9884461147</t>
  </si>
  <si>
    <t>ONMKTG/2019-20/14</t>
  </si>
  <si>
    <t>03-JUL-2019</t>
  </si>
  <si>
    <t>26-JUN-2019</t>
  </si>
  <si>
    <t>A15S/19-20/017</t>
  </si>
  <si>
    <t>153400</t>
  </si>
  <si>
    <t>3068</t>
  </si>
  <si>
    <t>150332</t>
  </si>
  <si>
    <t>ONMKTG/2019-20/15</t>
  </si>
  <si>
    <t>ONMKTG/8</t>
  </si>
  <si>
    <t>MAALAI MALAR</t>
  </si>
  <si>
    <t>DIGITAL MEDIA BUY</t>
  </si>
  <si>
    <t>33AAACM2573P1Z8</t>
  </si>
  <si>
    <t>AAACM2573P</t>
  </si>
  <si>
    <t>DCM-D19050006</t>
  </si>
  <si>
    <t>59000</t>
  </si>
  <si>
    <t>ONMKTG/2019-20/16</t>
  </si>
  <si>
    <t>159300</t>
  </si>
  <si>
    <t>ONMKTG/9</t>
  </si>
  <si>
    <t>NEWGEN DIGITAL</t>
  </si>
  <si>
    <t>Landing Page Support</t>
  </si>
  <si>
    <t>33AAACH0904R1ZM</t>
  </si>
  <si>
    <t>AAACH0904R</t>
  </si>
  <si>
    <t>NDW/19-20/0214</t>
  </si>
  <si>
    <t>ONMKTG/2019-20/17</t>
  </si>
  <si>
    <t>7806</t>
  </si>
  <si>
    <t>ONMKTG/2019-20/18</t>
  </si>
  <si>
    <t>1199</t>
  </si>
  <si>
    <t>542</t>
  </si>
  <si>
    <t>132.3</t>
  </si>
  <si>
    <t>7673.7</t>
  </si>
  <si>
    <t>2700</t>
  </si>
  <si>
    <t>156600</t>
  </si>
  <si>
    <t>1000</t>
  </si>
  <si>
    <t>58000</t>
  </si>
  <si>
    <t>ONMKTG/2019-20/19</t>
  </si>
  <si>
    <t>25-JUL-2019</t>
  </si>
  <si>
    <t>71335.12</t>
  </si>
  <si>
    <t>1209.06</t>
  </si>
  <si>
    <t>70126.06</t>
  </si>
  <si>
    <t>3589223305</t>
  </si>
  <si>
    <t>30-JUL-2019</t>
  </si>
  <si>
    <t>ONMKTG/2019-20/20</t>
  </si>
  <si>
    <t>43045.36</t>
  </si>
  <si>
    <t>729.58</t>
  </si>
  <si>
    <t>42315.78</t>
  </si>
  <si>
    <t>3590029370</t>
  </si>
  <si>
    <t>ONMKTG/2019-20/21</t>
  </si>
  <si>
    <t>UTCT</t>
  </si>
  <si>
    <t>17097.54</t>
  </si>
  <si>
    <t>289.78</t>
  </si>
  <si>
    <t>16807.76</t>
  </si>
  <si>
    <t>3590735319</t>
  </si>
  <si>
    <t>Fantastic</t>
  </si>
  <si>
    <t>ONMKTG/2019-20/22</t>
  </si>
  <si>
    <t>19/AUG/2019</t>
  </si>
  <si>
    <t>15505</t>
  </si>
  <si>
    <t>262.8</t>
  </si>
  <si>
    <t>15242.2</t>
  </si>
  <si>
    <t>31-JUL-2019</t>
  </si>
  <si>
    <t>0741</t>
  </si>
  <si>
    <t>ONMKTG/2019-20/23</t>
  </si>
  <si>
    <t>21-AUG-2019</t>
  </si>
  <si>
    <t>01-AUG-2019</t>
  </si>
  <si>
    <t>1237</t>
  </si>
  <si>
    <t>16-AUG-2019</t>
  </si>
  <si>
    <t>ONMKTG/10</t>
  </si>
  <si>
    <t>The Daily Thanthi</t>
  </si>
  <si>
    <t>Digital Media Buy</t>
  </si>
  <si>
    <t>86,E.V.K.Sampath Road, Chennai-600007</t>
  </si>
  <si>
    <t>ONMKTG/2019-20/24</t>
  </si>
  <si>
    <t>75520</t>
  </si>
  <si>
    <t>1280</t>
  </si>
  <si>
    <t>74240</t>
  </si>
  <si>
    <t>26-JUL-2019</t>
  </si>
  <si>
    <t>WEB1920-0000062</t>
  </si>
  <si>
    <t>31-AUG-2019</t>
  </si>
  <si>
    <t>ONMKTG/2019-20/25</t>
  </si>
  <si>
    <t>27-JUL-2019</t>
  </si>
  <si>
    <t>iM071916</t>
  </si>
  <si>
    <t>03-AUG-2019</t>
  </si>
  <si>
    <t>38940</t>
  </si>
  <si>
    <t>778.8</t>
  </si>
  <si>
    <t>38161.2</t>
  </si>
  <si>
    <t>ONMKTG/2019-20/26</t>
  </si>
  <si>
    <t>ONMKTG/11</t>
  </si>
  <si>
    <t>Dinamalar</t>
  </si>
  <si>
    <t>39,Whites Road,Chennai-600014</t>
  </si>
  <si>
    <t>33AAAFD6640H2ZR</t>
  </si>
  <si>
    <t>AAAFD6640H</t>
  </si>
  <si>
    <t>22-AUG-2019</t>
  </si>
  <si>
    <t>177177</t>
  </si>
  <si>
    <t>3003</t>
  </si>
  <si>
    <t>174174</t>
  </si>
  <si>
    <t>WE-90</t>
  </si>
  <si>
    <t>30-AUG-2019</t>
  </si>
  <si>
    <t>ONMKTG/12</t>
  </si>
  <si>
    <t>GREYNIUM INFORMATION TECHNOLOGIES PVT.LTD</t>
  </si>
  <si>
    <t>Sanjana Plaza, 2ndFloor,#74/2,Elephant Rock Road,Jayanagar,3rd Block,Bangalore-560011</t>
  </si>
  <si>
    <t>ONMKTG/2019-20/27</t>
  </si>
  <si>
    <t>26-AUG-2019</t>
  </si>
  <si>
    <t>18031.04</t>
  </si>
  <si>
    <t>29-AUG-2019</t>
  </si>
  <si>
    <t>3602070696</t>
  </si>
  <si>
    <t>30-JUN-2019</t>
  </si>
  <si>
    <t>ONMKTG/2019-20/28</t>
  </si>
  <si>
    <t>3600046259</t>
  </si>
  <si>
    <t>60990.21</t>
  </si>
  <si>
    <t>ONMKTG/2019-20/29</t>
  </si>
  <si>
    <t>43044.41</t>
  </si>
  <si>
    <t>ONMKTG/2019-20/30</t>
  </si>
  <si>
    <t>3030</t>
  </si>
  <si>
    <t>51.3</t>
  </si>
  <si>
    <t>2978.7</t>
  </si>
  <si>
    <t>TI/DSP/1819/164</t>
  </si>
  <si>
    <t>24-JAN-2019</t>
  </si>
  <si>
    <t>21-FEB-2019</t>
  </si>
  <si>
    <t>ONMKTG/2019-20/31</t>
  </si>
  <si>
    <t>11306</t>
  </si>
  <si>
    <t>191.6</t>
  </si>
  <si>
    <t>11114.4</t>
  </si>
  <si>
    <t>TI/BNS/1819/564</t>
  </si>
  <si>
    <t>17-JAN-2019</t>
  </si>
  <si>
    <t>14-FEB-2019</t>
  </si>
  <si>
    <t>3600328101</t>
  </si>
  <si>
    <t>ONMKTG/2019-20/32</t>
  </si>
  <si>
    <t>ONMKTG/13</t>
  </si>
  <si>
    <t>ETERNO INFOTECH PVT. LTD.</t>
  </si>
  <si>
    <t>VRR Legacy,No.2,1st Main, 1st Block, Koramangala, Jakksandra Extn, Bangalore - 560034</t>
  </si>
  <si>
    <t>29AABCE4533A1Z3</t>
  </si>
  <si>
    <t>AABCE4533A</t>
  </si>
  <si>
    <t>TI/08/1920/0625</t>
  </si>
  <si>
    <t>13-AUG-2019</t>
  </si>
  <si>
    <t>53100</t>
  </si>
  <si>
    <t>900</t>
  </si>
  <si>
    <t>52200</t>
  </si>
  <si>
    <t>ONMKTG/2019-20/33</t>
  </si>
  <si>
    <t>07-SEP-2019</t>
  </si>
  <si>
    <t>94400</t>
  </si>
  <si>
    <t>1600</t>
  </si>
  <si>
    <t>92800</t>
  </si>
  <si>
    <t>TI/BNS/1920/147</t>
  </si>
  <si>
    <t>ONMKTG/2019-20/34</t>
  </si>
  <si>
    <t>0912</t>
  </si>
  <si>
    <t>8177</t>
  </si>
  <si>
    <t>138.6</t>
  </si>
  <si>
    <t>8038.4</t>
  </si>
  <si>
    <t>ONMKTG/2019-20/35</t>
  </si>
  <si>
    <t>29500</t>
  </si>
  <si>
    <t>500</t>
  </si>
  <si>
    <t>29000</t>
  </si>
  <si>
    <t>ONMKTG/2019-20/36</t>
  </si>
  <si>
    <t>IN-67</t>
  </si>
  <si>
    <t>47200</t>
  </si>
  <si>
    <t>944</t>
  </si>
  <si>
    <t>46256</t>
  </si>
  <si>
    <t>IN-94</t>
  </si>
  <si>
    <t>04-SEP-2019</t>
  </si>
  <si>
    <t>ONMKTG/2019-20/37</t>
  </si>
  <si>
    <t>1274</t>
  </si>
  <si>
    <t>ONMKTG/2019-20/38</t>
  </si>
  <si>
    <t>A15S/19-20/024</t>
  </si>
  <si>
    <t>19-SEP-2019</t>
  </si>
  <si>
    <t>122720</t>
  </si>
  <si>
    <t>2080</t>
  </si>
  <si>
    <t>120640</t>
  </si>
  <si>
    <t>ONMKTG/14</t>
  </si>
  <si>
    <t>Locon Solutions Private Limited</t>
  </si>
  <si>
    <t>Portal - Lead Generation</t>
  </si>
  <si>
    <t>A-1,1st floor,unit no.114,115,117, Rupa Solitaire, Millennium Business Park, Mahape, Mumbai, Maharashtra- 400107</t>
  </si>
  <si>
    <t>27AACCL2441D1ZY</t>
  </si>
  <si>
    <t>AACCL2441D</t>
  </si>
  <si>
    <t>ONMKTG/2019-20/39</t>
  </si>
  <si>
    <t>212400</t>
  </si>
  <si>
    <t>3600</t>
  </si>
  <si>
    <t>208800</t>
  </si>
  <si>
    <t>06196-L-MH-1920</t>
  </si>
  <si>
    <t>25-SEP/2019</t>
  </si>
  <si>
    <t>25-SEP-2019</t>
  </si>
  <si>
    <t>26-SEP-2019</t>
  </si>
  <si>
    <t>ONMKTG/2019-20/40</t>
  </si>
  <si>
    <t>30-SEP-2019</t>
  </si>
  <si>
    <t>306228.27</t>
  </si>
  <si>
    <t>3613470349</t>
  </si>
  <si>
    <t>31-jul-2019</t>
  </si>
  <si>
    <t>29-SEP-2019</t>
  </si>
  <si>
    <t>ONMKTG/2019-20/41</t>
  </si>
  <si>
    <t>3622167229</t>
  </si>
  <si>
    <t>707.35</t>
  </si>
  <si>
    <t>ONMKTG/2019-20/42</t>
  </si>
  <si>
    <t>25572.62</t>
  </si>
  <si>
    <t>3611960118</t>
  </si>
  <si>
    <t>ONMKTG/2019-20/43</t>
  </si>
  <si>
    <t>50848.28</t>
  </si>
  <si>
    <t>3612543000</t>
  </si>
  <si>
    <t>ONMKTG/2019-20/44</t>
  </si>
  <si>
    <t>35076.79</t>
  </si>
  <si>
    <t>3612144294</t>
  </si>
  <si>
    <t>ONMKTG/2019-20/45</t>
  </si>
  <si>
    <t>1092</t>
  </si>
  <si>
    <t>16-OCT-2019</t>
  </si>
  <si>
    <t>7695</t>
  </si>
  <si>
    <t>153.9</t>
  </si>
  <si>
    <t>7541.1</t>
  </si>
  <si>
    <t>15-OCT-2019</t>
  </si>
  <si>
    <t>ONMKTG/2019-20/46</t>
  </si>
  <si>
    <t>3186</t>
  </si>
  <si>
    <t>156114</t>
  </si>
  <si>
    <t>NDW/19-20/0518</t>
  </si>
  <si>
    <t>28-SEP-2019</t>
  </si>
  <si>
    <t>28-OCT-2019</t>
  </si>
  <si>
    <t>ONMKTG/2019-20/47</t>
  </si>
  <si>
    <t>7965</t>
  </si>
  <si>
    <t>135</t>
  </si>
  <si>
    <t>7830</t>
  </si>
  <si>
    <t>ONMKTG/2019-20/48</t>
  </si>
  <si>
    <t>243</t>
  </si>
  <si>
    <t>159057</t>
  </si>
  <si>
    <t>ONMKTG/2019-20/49</t>
  </si>
  <si>
    <t>1365</t>
  </si>
  <si>
    <t>ONMKTG/2019-20/50</t>
  </si>
  <si>
    <t>31-OCT-2019</t>
  </si>
  <si>
    <t>Oxygen Ph-IV</t>
  </si>
  <si>
    <t>54840</t>
  </si>
  <si>
    <t>929.48</t>
  </si>
  <si>
    <t>53910.52</t>
  </si>
  <si>
    <t>3625363713</t>
  </si>
  <si>
    <t>30-OCT-2019</t>
  </si>
  <si>
    <t>ONMKTG/2019-20/51</t>
  </si>
  <si>
    <t>3632063617</t>
  </si>
  <si>
    <t>214504</t>
  </si>
  <si>
    <t>3635.67</t>
  </si>
  <si>
    <t>210868.33</t>
  </si>
  <si>
    <t>ONMKTG/2019-20/52</t>
  </si>
  <si>
    <t>35543.05</t>
  </si>
  <si>
    <t>602.42</t>
  </si>
  <si>
    <t>34940.63</t>
  </si>
  <si>
    <t>3625560793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</si>
</sst>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* #,##0.00_ ;_ * \-#,##0.00_ ;_ * &quot;-&quot;??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name val="Verdana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name val="Verdana"/>
      <family val="2"/>
    </font>
    <font>
      <sz val="12"/>
      <name val="Verdana"/>
      <family val="2"/>
    </font>
    <font>
      <b/>
      <sz val="14"/>
      <name val="Verdana"/>
      <family val="2"/>
    </font>
    <font>
      <b/>
      <i/>
      <sz val="12"/>
      <name val="Verdana"/>
      <family val="2"/>
    </font>
    <font>
      <i/>
      <sz val="12"/>
      <name val="Verdana"/>
      <family val="2"/>
    </font>
    <font>
      <sz val="10"/>
      <color rgb="FF000000"/>
      <name val="Verdana"/>
      <family val="2"/>
    </font>
    <font>
      <sz val="11"/>
      <color rgb="FF00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160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/>
    <xf numFmtId="0" fontId="1" fillId="0" borderId="5" xfId="0" applyFont="1" applyBorder="1" applyAlignment="1"/>
    <xf numFmtId="0" fontId="1" fillId="0" borderId="11" xfId="0" applyFont="1" applyBorder="1"/>
    <xf numFmtId="0" fontId="1" fillId="0" borderId="12" xfId="0" applyFont="1" applyBorder="1"/>
    <xf numFmtId="0" fontId="1" fillId="0" borderId="0" xfId="0" applyFont="1"/>
    <xf numFmtId="0" fontId="1" fillId="0" borderId="0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6" fillId="0" borderId="1" xfId="0" applyFont="1" applyBorder="1" applyAlignment="1" applyProtection="1">
      <alignment vertical="center"/>
      <protection locked="0"/>
    </xf>
    <xf numFmtId="0" fontId="6" fillId="0" borderId="2" xfId="0" applyFont="1" applyBorder="1" applyAlignment="1" applyProtection="1">
      <alignment vertical="center"/>
      <protection locked="0"/>
    </xf>
    <xf numFmtId="0" fontId="6" fillId="0" borderId="3" xfId="0" applyFont="1" applyBorder="1" applyAlignment="1" applyProtection="1">
      <alignment vertical="center"/>
      <protection locked="0"/>
    </xf>
    <xf numFmtId="0" fontId="7" fillId="0" borderId="0" xfId="0" applyFont="1"/>
    <xf numFmtId="0" fontId="6" fillId="0" borderId="4" xfId="0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6" fillId="0" borderId="5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/>
      <protection locked="0"/>
    </xf>
    <xf numFmtId="0" fontId="6" fillId="0" borderId="12" xfId="0" applyFont="1" applyBorder="1" applyAlignment="1" applyProtection="1">
      <alignment vertical="center"/>
      <protection locked="0"/>
    </xf>
    <xf numFmtId="0" fontId="6" fillId="0" borderId="13" xfId="0" applyFont="1" applyBorder="1" applyAlignment="1" applyProtection="1">
      <alignment vertical="center"/>
      <protection locked="0"/>
    </xf>
    <xf numFmtId="0" fontId="7" fillId="0" borderId="4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7" fillId="0" borderId="5" xfId="0" applyFont="1" applyBorder="1" applyAlignment="1" applyProtection="1">
      <alignment vertical="center"/>
      <protection locked="0"/>
    </xf>
    <xf numFmtId="3" fontId="6" fillId="0" borderId="4" xfId="0" applyNumberFormat="1" applyFont="1" applyFill="1" applyBorder="1" applyAlignment="1" applyProtection="1">
      <alignment horizontal="left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3" fontId="6" fillId="0" borderId="0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left" vertical="center"/>
      <protection locked="0"/>
    </xf>
    <xf numFmtId="0" fontId="7" fillId="0" borderId="9" xfId="0" applyFont="1" applyBorder="1" applyAlignment="1" applyProtection="1">
      <alignment horizontal="left" vertic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3" fontId="6" fillId="0" borderId="4" xfId="0" applyNumberFormat="1" applyFont="1" applyFill="1" applyBorder="1" applyAlignment="1" applyProtection="1">
      <alignment horizontal="left" wrapText="1"/>
      <protection locked="0"/>
    </xf>
    <xf numFmtId="3" fontId="6" fillId="0" borderId="4" xfId="0" applyNumberFormat="1" applyFont="1" applyFill="1" applyBorder="1" applyAlignment="1" applyProtection="1">
      <alignment horizontal="center" wrapText="1"/>
      <protection locked="0"/>
    </xf>
    <xf numFmtId="3" fontId="6" fillId="0" borderId="0" xfId="0" applyNumberFormat="1" applyFont="1" applyFill="1" applyBorder="1" applyAlignment="1" applyProtection="1">
      <alignment horizontal="left" wrapText="1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6" fillId="2" borderId="24" xfId="0" applyFont="1" applyFill="1" applyBorder="1" applyAlignment="1" applyProtection="1">
      <alignment horizontal="center" vertical="center"/>
      <protection locked="0"/>
    </xf>
    <xf numFmtId="3" fontId="6" fillId="0" borderId="27" xfId="0" applyNumberFormat="1" applyFont="1" applyFill="1" applyBorder="1" applyAlignment="1" applyProtection="1">
      <alignment horizontal="left" wrapText="1"/>
      <protection locked="0"/>
    </xf>
    <xf numFmtId="3" fontId="6" fillId="0" borderId="30" xfId="0" applyNumberFormat="1" applyFont="1" applyFill="1" applyBorder="1" applyAlignment="1" applyProtection="1">
      <alignment horizontal="left" wrapText="1"/>
      <protection locked="0"/>
    </xf>
    <xf numFmtId="3" fontId="6" fillId="0" borderId="33" xfId="0" applyNumberFormat="1" applyFont="1" applyFill="1" applyBorder="1" applyAlignment="1" applyProtection="1">
      <alignment horizontal="left" wrapText="1"/>
      <protection locked="0"/>
    </xf>
    <xf numFmtId="0" fontId="7" fillId="0" borderId="1" xfId="0" applyFont="1" applyBorder="1" applyAlignment="1" applyProtection="1">
      <alignment horizontal="left" vertic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7" fillId="0" borderId="2" xfId="0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3" fontId="6" fillId="0" borderId="0" xfId="0" applyNumberFormat="1" applyFont="1" applyFill="1" applyBorder="1" applyAlignment="1" applyProtection="1">
      <alignment horizontal="left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0" fontId="7" fillId="0" borderId="11" xfId="0" applyFont="1" applyBorder="1" applyAlignment="1" applyProtection="1">
      <alignment horizontal="left" vertical="center"/>
      <protection locked="0"/>
    </xf>
    <xf numFmtId="0" fontId="7" fillId="0" borderId="12" xfId="0" applyFont="1" applyBorder="1" applyAlignment="1" applyProtection="1">
      <alignment horizontal="left" vertic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0" borderId="13" xfId="0" applyFont="1" applyBorder="1" applyAlignment="1" applyProtection="1">
      <alignment horizontal="center"/>
      <protection locked="0"/>
    </xf>
    <xf numFmtId="3" fontId="6" fillId="0" borderId="36" xfId="0" applyNumberFormat="1" applyFont="1" applyFill="1" applyBorder="1" applyAlignment="1" applyProtection="1">
      <alignment horizontal="center" wrapText="1"/>
      <protection locked="0"/>
    </xf>
    <xf numFmtId="3" fontId="6" fillId="0" borderId="39" xfId="0" applyNumberFormat="1" applyFont="1" applyFill="1" applyBorder="1" applyAlignment="1" applyProtection="1">
      <alignment horizontal="center" wrapText="1"/>
      <protection locked="0"/>
    </xf>
    <xf numFmtId="3" fontId="9" fillId="0" borderId="43" xfId="0" applyNumberFormat="1" applyFont="1" applyFill="1" applyBorder="1" applyAlignment="1" applyProtection="1">
      <alignment horizontal="center" wrapText="1"/>
      <protection locked="0"/>
    </xf>
    <xf numFmtId="3" fontId="9" fillId="0" borderId="46" xfId="0" applyNumberFormat="1" applyFont="1" applyFill="1" applyBorder="1" applyAlignment="1" applyProtection="1">
      <alignment horizontal="center" wrapText="1"/>
      <protection locked="0"/>
    </xf>
    <xf numFmtId="3" fontId="6" fillId="0" borderId="5" xfId="0" applyNumberFormat="1" applyFont="1" applyFill="1" applyBorder="1" applyAlignment="1" applyProtection="1">
      <alignment horizontal="left" wrapText="1"/>
      <protection locked="0"/>
    </xf>
    <xf numFmtId="0" fontId="11" fillId="0" borderId="16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0" fillId="0" borderId="0" xfId="0"/>
    <xf numFmtId="1" fontId="0" fillId="0" borderId="0" xfId="0" applyNumberFormat="1" applyAlignment="1">
      <alignment horizontal="center" vertical="center"/>
    </xf>
    <xf numFmtId="0" fontId="0" fillId="0" borderId="0" xfId="0" quotePrefix="1"/>
    <xf numFmtId="1" fontId="0" fillId="0" borderId="0" xfId="0" applyNumberFormat="1"/>
    <xf numFmtId="0" fontId="12" fillId="0" borderId="57" xfId="0" applyFont="1" applyBorder="1" applyAlignment="1">
      <alignment vertical="center"/>
    </xf>
    <xf numFmtId="0" fontId="12" fillId="0" borderId="58" xfId="0" applyFont="1" applyBorder="1" applyAlignment="1">
      <alignment vertical="center"/>
    </xf>
    <xf numFmtId="0" fontId="0" fillId="0" borderId="0" xfId="0" applyNumberFormat="1"/>
    <xf numFmtId="0" fontId="0" fillId="0" borderId="0" xfId="0" applyFill="1"/>
    <xf numFmtId="0" fontId="11" fillId="0" borderId="16" xfId="0" applyFont="1" applyFill="1" applyBorder="1" applyAlignment="1">
      <alignment vertical="center"/>
    </xf>
    <xf numFmtId="14" fontId="0" fillId="0" borderId="0" xfId="0" applyNumberFormat="1" applyFill="1"/>
    <xf numFmtId="0" fontId="0" fillId="3" borderId="0" xfId="0" applyFill="1"/>
    <xf numFmtId="15" fontId="0" fillId="0" borderId="0" xfId="0" applyNumberFormat="1" applyFill="1"/>
    <xf numFmtId="0" fontId="0" fillId="0" borderId="0" xfId="0" applyNumberFormat="1" applyFill="1"/>
    <xf numFmtId="0" fontId="1" fillId="0" borderId="4" xfId="0" applyFont="1" applyBorder="1" applyAlignment="1">
      <alignment horizontal="left" wrapText="1"/>
    </xf>
    <xf numFmtId="0" fontId="1" fillId="0" borderId="0" xfId="0" applyFont="1" applyBorder="1" applyAlignment="1">
      <alignment horizontal="left" wrapText="1"/>
    </xf>
    <xf numFmtId="0" fontId="1" fillId="0" borderId="9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3" fillId="2" borderId="6" xfId="0" applyFont="1" applyFill="1" applyBorder="1" applyAlignment="1" applyProtection="1">
      <alignment horizontal="center"/>
      <protection locked="0"/>
    </xf>
    <xf numFmtId="0" fontId="3" fillId="2" borderId="7" xfId="0" applyFont="1" applyFill="1" applyBorder="1" applyAlignment="1" applyProtection="1">
      <alignment horizontal="center"/>
      <protection locked="0"/>
    </xf>
    <xf numFmtId="0" fontId="3" fillId="2" borderId="8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>
      <alignment horizontal="left" vertical="center" wrapText="1"/>
    </xf>
    <xf numFmtId="0" fontId="1" fillId="0" borderId="10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" fontId="1" fillId="0" borderId="9" xfId="0" applyNumberFormat="1" applyFont="1" applyBorder="1" applyAlignment="1">
      <alignment horizontal="left" vertical="center"/>
    </xf>
    <xf numFmtId="3" fontId="6" fillId="0" borderId="0" xfId="0" applyNumberFormat="1" applyFont="1" applyFill="1" applyBorder="1" applyAlignment="1" applyProtection="1">
      <alignment horizontal="left" wrapText="1"/>
      <protection locked="0"/>
    </xf>
    <xf numFmtId="3" fontId="6" fillId="0" borderId="5" xfId="0" applyNumberFormat="1" applyFont="1" applyFill="1" applyBorder="1" applyAlignment="1" applyProtection="1">
      <alignment horizontal="left" wrapText="1"/>
      <protection locked="0"/>
    </xf>
    <xf numFmtId="0" fontId="6" fillId="2" borderId="6" xfId="0" applyFont="1" applyFill="1" applyBorder="1" applyAlignment="1" applyProtection="1">
      <alignment horizontal="center"/>
      <protection locked="0"/>
    </xf>
    <xf numFmtId="0" fontId="6" fillId="2" borderId="7" xfId="0" applyFont="1" applyFill="1" applyBorder="1" applyAlignment="1" applyProtection="1">
      <alignment horizont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0" borderId="37" xfId="0" applyNumberFormat="1" applyFont="1" applyFill="1" applyBorder="1" applyAlignment="1" applyProtection="1">
      <alignment horizontal="center" wrapText="1"/>
      <protection locked="0"/>
    </xf>
    <xf numFmtId="3" fontId="6" fillId="0" borderId="38" xfId="0" applyNumberFormat="1" applyFont="1" applyFill="1" applyBorder="1" applyAlignment="1" applyProtection="1">
      <alignment horizontal="center" wrapText="1"/>
      <protection locked="0"/>
    </xf>
    <xf numFmtId="3" fontId="6" fillId="0" borderId="40" xfId="0" applyNumberFormat="1" applyFont="1" applyFill="1" applyBorder="1" applyAlignment="1" applyProtection="1">
      <alignment horizontal="center" wrapText="1"/>
      <protection locked="0"/>
    </xf>
    <xf numFmtId="3" fontId="6" fillId="0" borderId="41" xfId="0" applyNumberFormat="1" applyFont="1" applyFill="1" applyBorder="1" applyAlignment="1" applyProtection="1">
      <alignment horizontal="center" wrapText="1"/>
      <protection locked="0"/>
    </xf>
    <xf numFmtId="3" fontId="6" fillId="0" borderId="42" xfId="0" applyNumberFormat="1" applyFont="1" applyFill="1" applyBorder="1" applyAlignment="1" applyProtection="1">
      <alignment horizontal="center" wrapText="1"/>
      <protection locked="0"/>
    </xf>
    <xf numFmtId="0" fontId="7" fillId="0" borderId="43" xfId="0" applyFont="1" applyBorder="1" applyAlignment="1" applyProtection="1">
      <alignment horizontal="center" vertical="center"/>
      <protection locked="0"/>
    </xf>
    <xf numFmtId="0" fontId="7" fillId="0" borderId="50" xfId="0" applyFont="1" applyBorder="1" applyAlignment="1" applyProtection="1">
      <alignment horizontal="center" vertical="center"/>
      <protection locked="0"/>
    </xf>
    <xf numFmtId="0" fontId="7" fillId="0" borderId="44" xfId="0" applyFont="1" applyBorder="1" applyAlignment="1" applyProtection="1">
      <alignment horizontal="center" vertical="center"/>
      <protection locked="0"/>
    </xf>
    <xf numFmtId="0" fontId="7" fillId="0" borderId="45" xfId="0" applyFont="1" applyBorder="1" applyAlignment="1" applyProtection="1">
      <alignment horizontal="center" vertical="center"/>
      <protection locked="0"/>
    </xf>
    <xf numFmtId="0" fontId="7" fillId="0" borderId="51" xfId="0" applyFont="1" applyBorder="1" applyAlignment="1" applyProtection="1">
      <alignment horizontal="center" vertical="center"/>
      <protection locked="0"/>
    </xf>
    <xf numFmtId="0" fontId="7" fillId="0" borderId="52" xfId="0" applyFont="1" applyBorder="1" applyAlignment="1" applyProtection="1">
      <alignment horizontal="center" vertical="center"/>
      <protection locked="0"/>
    </xf>
    <xf numFmtId="0" fontId="7" fillId="0" borderId="46" xfId="0" applyFont="1" applyBorder="1" applyAlignment="1" applyProtection="1">
      <alignment horizontal="center"/>
      <protection locked="0"/>
    </xf>
    <xf numFmtId="0" fontId="7" fillId="0" borderId="53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Alignment="1" applyProtection="1">
      <alignment horizontal="center"/>
      <protection locked="0"/>
    </xf>
    <xf numFmtId="0" fontId="7" fillId="0" borderId="54" xfId="0" applyFont="1" applyBorder="1" applyAlignment="1" applyProtection="1">
      <alignment horizontal="center"/>
      <protection locked="0"/>
    </xf>
    <xf numFmtId="0" fontId="7" fillId="0" borderId="55" xfId="0" applyFont="1" applyBorder="1" applyAlignment="1" applyProtection="1">
      <alignment horizontal="center"/>
      <protection locked="0"/>
    </xf>
    <xf numFmtId="0" fontId="7" fillId="0" borderId="56" xfId="0" applyFont="1" applyBorder="1" applyAlignment="1" applyProtection="1">
      <alignment horizontal="center"/>
      <protection locked="0"/>
    </xf>
    <xf numFmtId="3" fontId="9" fillId="0" borderId="44" xfId="0" applyNumberFormat="1" applyFont="1" applyFill="1" applyBorder="1" applyAlignment="1" applyProtection="1">
      <alignment horizontal="center" wrapText="1"/>
      <protection locked="0"/>
    </xf>
    <xf numFmtId="3" fontId="9" fillId="0" borderId="45" xfId="0" applyNumberFormat="1" applyFont="1" applyFill="1" applyBorder="1" applyAlignment="1" applyProtection="1">
      <alignment horizontal="center" wrapText="1"/>
      <protection locked="0"/>
    </xf>
    <xf numFmtId="3" fontId="9" fillId="0" borderId="47" xfId="0" applyNumberFormat="1" applyFont="1" applyFill="1" applyBorder="1" applyAlignment="1" applyProtection="1">
      <alignment horizontal="center" wrapText="1"/>
      <protection locked="0"/>
    </xf>
    <xf numFmtId="3" fontId="9" fillId="0" borderId="48" xfId="0" applyNumberFormat="1" applyFont="1" applyFill="1" applyBorder="1" applyAlignment="1" applyProtection="1">
      <alignment horizontal="center" wrapText="1"/>
      <protection locked="0"/>
    </xf>
    <xf numFmtId="3" fontId="9" fillId="0" borderId="49" xfId="0" applyNumberFormat="1" applyFont="1" applyFill="1" applyBorder="1" applyAlignment="1" applyProtection="1">
      <alignment horizontal="center" wrapText="1"/>
      <protection locked="0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7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 vertical="center"/>
      <protection locked="0"/>
    </xf>
    <xf numFmtId="1" fontId="7" fillId="0" borderId="34" xfId="1" applyNumberFormat="1" applyFont="1" applyBorder="1" applyAlignment="1" applyProtection="1">
      <alignment horizontal="center" vertical="center"/>
    </xf>
    <xf numFmtId="0" fontId="7" fillId="0" borderId="34" xfId="0" applyFont="1" applyBorder="1" applyAlignment="1" applyProtection="1">
      <alignment horizontal="center"/>
      <protection locked="0"/>
    </xf>
    <xf numFmtId="0" fontId="7" fillId="0" borderId="35" xfId="0" applyFont="1" applyBorder="1" applyAlignment="1" applyProtection="1">
      <alignment horizontal="center"/>
      <protection locked="0"/>
    </xf>
    <xf numFmtId="3" fontId="6" fillId="0" borderId="4" xfId="0" applyNumberFormat="1" applyFont="1" applyFill="1" applyBorder="1" applyAlignment="1" applyProtection="1">
      <alignment horizontal="center" vertical="center" wrapText="1"/>
      <protection locked="0"/>
    </xf>
    <xf numFmtId="3" fontId="6" fillId="0" borderId="0" xfId="0" applyNumberFormat="1" applyFont="1" applyFill="1" applyBorder="1" applyAlignment="1" applyProtection="1">
      <alignment horizontal="left"/>
      <protection locked="0"/>
    </xf>
    <xf numFmtId="3" fontId="6" fillId="0" borderId="9" xfId="0" applyNumberFormat="1" applyFont="1" applyFill="1" applyBorder="1" applyAlignment="1" applyProtection="1">
      <alignment horizontal="left" wrapText="1"/>
      <protection locked="0"/>
    </xf>
    <xf numFmtId="3" fontId="6" fillId="0" borderId="10" xfId="0" applyNumberFormat="1" applyFont="1" applyFill="1" applyBorder="1" applyAlignment="1" applyProtection="1">
      <alignment horizontal="left" wrapText="1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0" borderId="18" xfId="0" applyFont="1" applyBorder="1" applyAlignment="1" applyProtection="1">
      <alignment horizontal="center"/>
      <protection locked="0"/>
    </xf>
    <xf numFmtId="0" fontId="7" fillId="0" borderId="19" xfId="0" applyFont="1" applyBorder="1" applyAlignment="1" applyProtection="1">
      <alignment horizontal="center"/>
      <protection locked="0"/>
    </xf>
    <xf numFmtId="1" fontId="7" fillId="0" borderId="16" xfId="1" applyNumberFormat="1" applyFont="1" applyBorder="1" applyAlignment="1" applyProtection="1">
      <alignment horizontal="center" vertical="center"/>
      <protection locked="0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31" xfId="0" applyFont="1" applyBorder="1" applyAlignment="1" applyProtection="1">
      <alignment horizontal="center"/>
      <protection locked="0"/>
    </xf>
    <xf numFmtId="1" fontId="7" fillId="0" borderId="17" xfId="1" applyNumberFormat="1" applyFont="1" applyBorder="1" applyAlignment="1" applyProtection="1">
      <alignment horizontal="center" vertical="center"/>
      <protection locked="0"/>
    </xf>
    <xf numFmtId="1" fontId="7" fillId="0" borderId="32" xfId="1" applyNumberFormat="1" applyFont="1" applyBorder="1" applyAlignment="1" applyProtection="1">
      <alignment horizontal="center" vertical="center"/>
      <protection locked="0"/>
    </xf>
    <xf numFmtId="0" fontId="6" fillId="2" borderId="25" xfId="0" applyFont="1" applyFill="1" applyBorder="1" applyAlignment="1" applyProtection="1">
      <alignment horizontal="center" vertical="center"/>
      <protection locked="0"/>
    </xf>
    <xf numFmtId="0" fontId="6" fillId="2" borderId="26" xfId="0" applyFont="1" applyFill="1" applyBorder="1" applyAlignment="1" applyProtection="1">
      <alignment horizontal="center" vertical="center"/>
      <protection locked="0"/>
    </xf>
    <xf numFmtId="1" fontId="7" fillId="0" borderId="28" xfId="1" applyNumberFormat="1" applyFont="1" applyBorder="1" applyAlignment="1" applyProtection="1">
      <alignment horizontal="center" vertical="center"/>
      <protection locked="0"/>
    </xf>
    <xf numFmtId="0" fontId="7" fillId="0" borderId="28" xfId="0" applyFont="1" applyBorder="1" applyAlignment="1" applyProtection="1">
      <alignment horizontal="center"/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left" vertical="center"/>
      <protection locked="0"/>
    </xf>
    <xf numFmtId="0" fontId="7" fillId="0" borderId="23" xfId="0" applyFont="1" applyBorder="1" applyAlignment="1" applyProtection="1">
      <alignment horizontal="left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horizontal="left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18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</cellXfs>
  <cellStyles count="2">
    <cellStyle name="Comma 2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485775</xdr:colOff>
      <xdr:row>0</xdr:row>
      <xdr:rowOff>85725</xdr:rowOff>
    </xdr:from>
    <xdr:to>
      <xdr:col>9</xdr:col>
      <xdr:colOff>523875</xdr:colOff>
      <xdr:row>4</xdr:row>
      <xdr:rowOff>95250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85725"/>
          <a:ext cx="1257300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7</xdr:row>
          <xdr:rowOff>152400</xdr:rowOff>
        </xdr:from>
        <xdr:to>
          <xdr:col>0</xdr:col>
          <xdr:colOff>904875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27</xdr:col>
      <xdr:colOff>190500</xdr:colOff>
      <xdr:row>120</xdr:row>
      <xdr:rowOff>114300</xdr:rowOff>
    </xdr:to>
    <xdr:sp macro="" textlink="">
      <xdr:nvSpPr>
        <xdr:cNvPr id="3" name="Rectangle 2"/>
        <xdr:cNvSpPr/>
      </xdr:nvSpPr>
      <xdr:spPr>
        <a:xfrm>
          <a:off x="0" y="0"/>
          <a:ext cx="22860000" cy="22974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342900</xdr:colOff>
      <xdr:row>0</xdr:row>
      <xdr:rowOff>9525</xdr:rowOff>
    </xdr:from>
    <xdr:to>
      <xdr:col>9</xdr:col>
      <xdr:colOff>114300</xdr:colOff>
      <xdr:row>3</xdr:row>
      <xdr:rowOff>390524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39075" y="9525"/>
          <a:ext cx="1619250" cy="990599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30</xdr:row>
          <xdr:rowOff>171450</xdr:rowOff>
        </xdr:from>
        <xdr:to>
          <xdr:col>2</xdr:col>
          <xdr:colOff>1333500</xdr:colOff>
          <xdr:row>31</xdr:row>
          <xdr:rowOff>47625</xdr:rowOff>
        </xdr:to>
        <xdr:sp macro="" textlink="">
          <xdr:nvSpPr>
            <xdr:cNvPr id="3073" name="Check Box 22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32</xdr:row>
          <xdr:rowOff>95250</xdr:rowOff>
        </xdr:from>
        <xdr:to>
          <xdr:col>2</xdr:col>
          <xdr:colOff>1333500</xdr:colOff>
          <xdr:row>33</xdr:row>
          <xdr:rowOff>38100</xdr:rowOff>
        </xdr:to>
        <xdr:sp macro="" textlink="">
          <xdr:nvSpPr>
            <xdr:cNvPr id="3074" name="Check Box 23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34</xdr:row>
          <xdr:rowOff>57150</xdr:rowOff>
        </xdr:from>
        <xdr:to>
          <xdr:col>2</xdr:col>
          <xdr:colOff>1333500</xdr:colOff>
          <xdr:row>34</xdr:row>
          <xdr:rowOff>361950</xdr:rowOff>
        </xdr:to>
        <xdr:sp macro="" textlink="">
          <xdr:nvSpPr>
            <xdr:cNvPr id="3075" name="Check Box 2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1876425</xdr:colOff>
          <xdr:row>30</xdr:row>
          <xdr:rowOff>171450</xdr:rowOff>
        </xdr:from>
        <xdr:to>
          <xdr:col>4</xdr:col>
          <xdr:colOff>19050</xdr:colOff>
          <xdr:row>31</xdr:row>
          <xdr:rowOff>47625</xdr:rowOff>
        </xdr:to>
        <xdr:sp macro="" textlink="">
          <xdr:nvSpPr>
            <xdr:cNvPr id="3076" name="Check Box 25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1866900</xdr:colOff>
          <xdr:row>32</xdr:row>
          <xdr:rowOff>114300</xdr:rowOff>
        </xdr:from>
        <xdr:to>
          <xdr:col>4</xdr:col>
          <xdr:colOff>9525</xdr:colOff>
          <xdr:row>33</xdr:row>
          <xdr:rowOff>57150</xdr:rowOff>
        </xdr:to>
        <xdr:sp macro="" textlink="">
          <xdr:nvSpPr>
            <xdr:cNvPr id="3077" name="Check Box 26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30</xdr:row>
          <xdr:rowOff>180975</xdr:rowOff>
        </xdr:from>
        <xdr:to>
          <xdr:col>9</xdr:col>
          <xdr:colOff>76200</xdr:colOff>
          <xdr:row>31</xdr:row>
          <xdr:rowOff>57150</xdr:rowOff>
        </xdr:to>
        <xdr:sp macro="" textlink="">
          <xdr:nvSpPr>
            <xdr:cNvPr id="3078" name="Check Box 27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32</xdr:row>
          <xdr:rowOff>123825</xdr:rowOff>
        </xdr:from>
        <xdr:to>
          <xdr:col>9</xdr:col>
          <xdr:colOff>66675</xdr:colOff>
          <xdr:row>33</xdr:row>
          <xdr:rowOff>66675</xdr:rowOff>
        </xdr:to>
        <xdr:sp macro="" textlink="">
          <xdr:nvSpPr>
            <xdr:cNvPr id="3079" name="Check Box 28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8</xdr:row>
          <xdr:rowOff>114300</xdr:rowOff>
        </xdr:from>
        <xdr:to>
          <xdr:col>0</xdr:col>
          <xdr:colOff>990600</xdr:colOff>
          <xdr:row>9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14</xdr:col>
      <xdr:colOff>1943100</xdr:colOff>
      <xdr:row>117</xdr:row>
      <xdr:rowOff>19050</xdr:rowOff>
    </xdr:to>
    <xdr:sp macro="" textlink="">
      <xdr:nvSpPr>
        <xdr:cNvPr id="3" name="Rectangle 2"/>
        <xdr:cNvSpPr/>
      </xdr:nvSpPr>
      <xdr:spPr>
        <a:xfrm>
          <a:off x="0" y="0"/>
          <a:ext cx="22860000" cy="223075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32</xdr:col>
      <xdr:colOff>409575</xdr:colOff>
      <xdr:row>119</xdr:row>
      <xdr:rowOff>180975</xdr:rowOff>
    </xdr:to>
    <xdr:sp macro="" textlink="">
      <xdr:nvSpPr>
        <xdr:cNvPr id="2" name="Rectangle 1"/>
        <xdr:cNvSpPr/>
      </xdr:nvSpPr>
      <xdr:spPr>
        <a:xfrm>
          <a:off x="0" y="0"/>
          <a:ext cx="22860000" cy="22974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152400</xdr:colOff>
      <xdr:row>0</xdr:row>
      <xdr:rowOff>152400</xdr:rowOff>
    </xdr:from>
    <xdr:to>
      <xdr:col>32</xdr:col>
      <xdr:colOff>561975</xdr:colOff>
      <xdr:row>120</xdr:row>
      <xdr:rowOff>142875</xdr:rowOff>
    </xdr:to>
    <xdr:sp macro="" textlink="">
      <xdr:nvSpPr>
        <xdr:cNvPr id="3" name="Rectangle 2"/>
        <xdr:cNvSpPr/>
      </xdr:nvSpPr>
      <xdr:spPr>
        <a:xfrm>
          <a:off x="152400" y="152400"/>
          <a:ext cx="22860000" cy="22974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31</xdr:col>
      <xdr:colOff>523875</xdr:colOff>
      <xdr:row>120</xdr:row>
      <xdr:rowOff>0</xdr:rowOff>
    </xdr:to>
    <xdr:sp macro="" textlink="">
      <xdr:nvSpPr>
        <xdr:cNvPr id="2" name="Rectangle 1"/>
        <xdr:cNvSpPr/>
      </xdr:nvSpPr>
      <xdr:spPr>
        <a:xfrm>
          <a:off x="0" y="0"/>
          <a:ext cx="22860000" cy="22860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customProperty" Target="../customProperty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showGridLines="0" zoomScaleNormal="100" workbookViewId="0"/>
  </sheetViews>
  <sheetFormatPr defaultRowHeight="14.25" x14ac:dyDescent="0.2"/>
  <cols>
    <col min="1" max="1" width="9.140625" style="13"/>
    <col min="2" max="2" width="11" style="13" customWidth="1"/>
    <col min="3" max="3" width="12.5703125" style="13" customWidth="1"/>
    <col min="4" max="257" width="9.140625" style="13"/>
    <col min="258" max="258" width="11" style="13" customWidth="1"/>
    <col min="259" max="259" width="12.5703125" style="13" customWidth="1"/>
    <col min="260" max="513" width="9.140625" style="13"/>
    <col min="514" max="514" width="11" style="13" customWidth="1"/>
    <col min="515" max="515" width="12.5703125" style="13" customWidth="1"/>
    <col min="516" max="769" width="9.140625" style="13"/>
    <col min="770" max="770" width="11" style="13" customWidth="1"/>
    <col min="771" max="771" width="12.5703125" style="13" customWidth="1"/>
    <col min="772" max="1025" width="9.140625" style="13"/>
    <col min="1026" max="1026" width="11" style="13" customWidth="1"/>
    <col min="1027" max="1027" width="12.5703125" style="13" customWidth="1"/>
    <col min="1028" max="1281" width="9.140625" style="13"/>
    <col min="1282" max="1282" width="11" style="13" customWidth="1"/>
    <col min="1283" max="1283" width="12.5703125" style="13" customWidth="1"/>
    <col min="1284" max="1537" width="9.140625" style="13"/>
    <col min="1538" max="1538" width="11" style="13" customWidth="1"/>
    <col min="1539" max="1539" width="12.5703125" style="13" customWidth="1"/>
    <col min="1540" max="1793" width="9.140625" style="13"/>
    <col min="1794" max="1794" width="11" style="13" customWidth="1"/>
    <col min="1795" max="1795" width="12.5703125" style="13" customWidth="1"/>
    <col min="1796" max="2049" width="9.140625" style="13"/>
    <col min="2050" max="2050" width="11" style="13" customWidth="1"/>
    <col min="2051" max="2051" width="12.5703125" style="13" customWidth="1"/>
    <col min="2052" max="2305" width="9.140625" style="13"/>
    <col min="2306" max="2306" width="11" style="13" customWidth="1"/>
    <col min="2307" max="2307" width="12.5703125" style="13" customWidth="1"/>
    <col min="2308" max="2561" width="9.140625" style="13"/>
    <col min="2562" max="2562" width="11" style="13" customWidth="1"/>
    <col min="2563" max="2563" width="12.5703125" style="13" customWidth="1"/>
    <col min="2564" max="2817" width="9.140625" style="13"/>
    <col min="2818" max="2818" width="11" style="13" customWidth="1"/>
    <col min="2819" max="2819" width="12.5703125" style="13" customWidth="1"/>
    <col min="2820" max="3073" width="9.140625" style="13"/>
    <col min="3074" max="3074" width="11" style="13" customWidth="1"/>
    <col min="3075" max="3075" width="12.5703125" style="13" customWidth="1"/>
    <col min="3076" max="3329" width="9.140625" style="13"/>
    <col min="3330" max="3330" width="11" style="13" customWidth="1"/>
    <col min="3331" max="3331" width="12.5703125" style="13" customWidth="1"/>
    <col min="3332" max="3585" width="9.140625" style="13"/>
    <col min="3586" max="3586" width="11" style="13" customWidth="1"/>
    <col min="3587" max="3587" width="12.5703125" style="13" customWidth="1"/>
    <col min="3588" max="3841" width="9.140625" style="13"/>
    <col min="3842" max="3842" width="11" style="13" customWidth="1"/>
    <col min="3843" max="3843" width="12.5703125" style="13" customWidth="1"/>
    <col min="3844" max="4097" width="9.140625" style="13"/>
    <col min="4098" max="4098" width="11" style="13" customWidth="1"/>
    <col min="4099" max="4099" width="12.5703125" style="13" customWidth="1"/>
    <col min="4100" max="4353" width="9.140625" style="13"/>
    <col min="4354" max="4354" width="11" style="13" customWidth="1"/>
    <col min="4355" max="4355" width="12.5703125" style="13" customWidth="1"/>
    <col min="4356" max="4609" width="9.140625" style="13"/>
    <col min="4610" max="4610" width="11" style="13" customWidth="1"/>
    <col min="4611" max="4611" width="12.5703125" style="13" customWidth="1"/>
    <col min="4612" max="4865" width="9.140625" style="13"/>
    <col min="4866" max="4866" width="11" style="13" customWidth="1"/>
    <col min="4867" max="4867" width="12.5703125" style="13" customWidth="1"/>
    <col min="4868" max="5121" width="9.140625" style="13"/>
    <col min="5122" max="5122" width="11" style="13" customWidth="1"/>
    <col min="5123" max="5123" width="12.5703125" style="13" customWidth="1"/>
    <col min="5124" max="5377" width="9.140625" style="13"/>
    <col min="5378" max="5378" width="11" style="13" customWidth="1"/>
    <col min="5379" max="5379" width="12.5703125" style="13" customWidth="1"/>
    <col min="5380" max="5633" width="9.140625" style="13"/>
    <col min="5634" max="5634" width="11" style="13" customWidth="1"/>
    <col min="5635" max="5635" width="12.5703125" style="13" customWidth="1"/>
    <col min="5636" max="5889" width="9.140625" style="13"/>
    <col min="5890" max="5890" width="11" style="13" customWidth="1"/>
    <col min="5891" max="5891" width="12.5703125" style="13" customWidth="1"/>
    <col min="5892" max="6145" width="9.140625" style="13"/>
    <col min="6146" max="6146" width="11" style="13" customWidth="1"/>
    <col min="6147" max="6147" width="12.5703125" style="13" customWidth="1"/>
    <col min="6148" max="6401" width="9.140625" style="13"/>
    <col min="6402" max="6402" width="11" style="13" customWidth="1"/>
    <col min="6403" max="6403" width="12.5703125" style="13" customWidth="1"/>
    <col min="6404" max="6657" width="9.140625" style="13"/>
    <col min="6658" max="6658" width="11" style="13" customWidth="1"/>
    <col min="6659" max="6659" width="12.5703125" style="13" customWidth="1"/>
    <col min="6660" max="6913" width="9.140625" style="13"/>
    <col min="6914" max="6914" width="11" style="13" customWidth="1"/>
    <col min="6915" max="6915" width="12.5703125" style="13" customWidth="1"/>
    <col min="6916" max="7169" width="9.140625" style="13"/>
    <col min="7170" max="7170" width="11" style="13" customWidth="1"/>
    <col min="7171" max="7171" width="12.5703125" style="13" customWidth="1"/>
    <col min="7172" max="7425" width="9.140625" style="13"/>
    <col min="7426" max="7426" width="11" style="13" customWidth="1"/>
    <col min="7427" max="7427" width="12.5703125" style="13" customWidth="1"/>
    <col min="7428" max="7681" width="9.140625" style="13"/>
    <col min="7682" max="7682" width="11" style="13" customWidth="1"/>
    <col min="7683" max="7683" width="12.5703125" style="13" customWidth="1"/>
    <col min="7684" max="7937" width="9.140625" style="13"/>
    <col min="7938" max="7938" width="11" style="13" customWidth="1"/>
    <col min="7939" max="7939" width="12.5703125" style="13" customWidth="1"/>
    <col min="7940" max="8193" width="9.140625" style="13"/>
    <col min="8194" max="8194" width="11" style="13" customWidth="1"/>
    <col min="8195" max="8195" width="12.5703125" style="13" customWidth="1"/>
    <col min="8196" max="8449" width="9.140625" style="13"/>
    <col min="8450" max="8450" width="11" style="13" customWidth="1"/>
    <col min="8451" max="8451" width="12.5703125" style="13" customWidth="1"/>
    <col min="8452" max="8705" width="9.140625" style="13"/>
    <col min="8706" max="8706" width="11" style="13" customWidth="1"/>
    <col min="8707" max="8707" width="12.5703125" style="13" customWidth="1"/>
    <col min="8708" max="8961" width="9.140625" style="13"/>
    <col min="8962" max="8962" width="11" style="13" customWidth="1"/>
    <col min="8963" max="8963" width="12.5703125" style="13" customWidth="1"/>
    <col min="8964" max="9217" width="9.140625" style="13"/>
    <col min="9218" max="9218" width="11" style="13" customWidth="1"/>
    <col min="9219" max="9219" width="12.5703125" style="13" customWidth="1"/>
    <col min="9220" max="9473" width="9.140625" style="13"/>
    <col min="9474" max="9474" width="11" style="13" customWidth="1"/>
    <col min="9475" max="9475" width="12.5703125" style="13" customWidth="1"/>
    <col min="9476" max="9729" width="9.140625" style="13"/>
    <col min="9730" max="9730" width="11" style="13" customWidth="1"/>
    <col min="9731" max="9731" width="12.5703125" style="13" customWidth="1"/>
    <col min="9732" max="9985" width="9.140625" style="13"/>
    <col min="9986" max="9986" width="11" style="13" customWidth="1"/>
    <col min="9987" max="9987" width="12.5703125" style="13" customWidth="1"/>
    <col min="9988" max="10241" width="9.140625" style="13"/>
    <col min="10242" max="10242" width="11" style="13" customWidth="1"/>
    <col min="10243" max="10243" width="12.5703125" style="13" customWidth="1"/>
    <col min="10244" max="10497" width="9.140625" style="13"/>
    <col min="10498" max="10498" width="11" style="13" customWidth="1"/>
    <col min="10499" max="10499" width="12.5703125" style="13" customWidth="1"/>
    <col min="10500" max="10753" width="9.140625" style="13"/>
    <col min="10754" max="10754" width="11" style="13" customWidth="1"/>
    <col min="10755" max="10755" width="12.5703125" style="13" customWidth="1"/>
    <col min="10756" max="11009" width="9.140625" style="13"/>
    <col min="11010" max="11010" width="11" style="13" customWidth="1"/>
    <col min="11011" max="11011" width="12.5703125" style="13" customWidth="1"/>
    <col min="11012" max="11265" width="9.140625" style="13"/>
    <col min="11266" max="11266" width="11" style="13" customWidth="1"/>
    <col min="11267" max="11267" width="12.5703125" style="13" customWidth="1"/>
    <col min="11268" max="11521" width="9.140625" style="13"/>
    <col min="11522" max="11522" width="11" style="13" customWidth="1"/>
    <col min="11523" max="11523" width="12.5703125" style="13" customWidth="1"/>
    <col min="11524" max="11777" width="9.140625" style="13"/>
    <col min="11778" max="11778" width="11" style="13" customWidth="1"/>
    <col min="11779" max="11779" width="12.5703125" style="13" customWidth="1"/>
    <col min="11780" max="12033" width="9.140625" style="13"/>
    <col min="12034" max="12034" width="11" style="13" customWidth="1"/>
    <col min="12035" max="12035" width="12.5703125" style="13" customWidth="1"/>
    <col min="12036" max="12289" width="9.140625" style="13"/>
    <col min="12290" max="12290" width="11" style="13" customWidth="1"/>
    <col min="12291" max="12291" width="12.5703125" style="13" customWidth="1"/>
    <col min="12292" max="12545" width="9.140625" style="13"/>
    <col min="12546" max="12546" width="11" style="13" customWidth="1"/>
    <col min="12547" max="12547" width="12.5703125" style="13" customWidth="1"/>
    <col min="12548" max="12801" width="9.140625" style="13"/>
    <col min="12802" max="12802" width="11" style="13" customWidth="1"/>
    <col min="12803" max="12803" width="12.5703125" style="13" customWidth="1"/>
    <col min="12804" max="13057" width="9.140625" style="13"/>
    <col min="13058" max="13058" width="11" style="13" customWidth="1"/>
    <col min="13059" max="13059" width="12.5703125" style="13" customWidth="1"/>
    <col min="13060" max="13313" width="9.140625" style="13"/>
    <col min="13314" max="13314" width="11" style="13" customWidth="1"/>
    <col min="13315" max="13315" width="12.5703125" style="13" customWidth="1"/>
    <col min="13316" max="13569" width="9.140625" style="13"/>
    <col min="13570" max="13570" width="11" style="13" customWidth="1"/>
    <col min="13571" max="13571" width="12.5703125" style="13" customWidth="1"/>
    <col min="13572" max="13825" width="9.140625" style="13"/>
    <col min="13826" max="13826" width="11" style="13" customWidth="1"/>
    <col min="13827" max="13827" width="12.5703125" style="13" customWidth="1"/>
    <col min="13828" max="14081" width="9.140625" style="13"/>
    <col min="14082" max="14082" width="11" style="13" customWidth="1"/>
    <col min="14083" max="14083" width="12.5703125" style="13" customWidth="1"/>
    <col min="14084" max="14337" width="9.140625" style="13"/>
    <col min="14338" max="14338" width="11" style="13" customWidth="1"/>
    <col min="14339" max="14339" width="12.5703125" style="13" customWidth="1"/>
    <col min="14340" max="14593" width="9.140625" style="13"/>
    <col min="14594" max="14594" width="11" style="13" customWidth="1"/>
    <col min="14595" max="14595" width="12.5703125" style="13" customWidth="1"/>
    <col min="14596" max="14849" width="9.140625" style="13"/>
    <col min="14850" max="14850" width="11" style="13" customWidth="1"/>
    <col min="14851" max="14851" width="12.5703125" style="13" customWidth="1"/>
    <col min="14852" max="15105" width="9.140625" style="13"/>
    <col min="15106" max="15106" width="11" style="13" customWidth="1"/>
    <col min="15107" max="15107" width="12.5703125" style="13" customWidth="1"/>
    <col min="15108" max="15361" width="9.140625" style="13"/>
    <col min="15362" max="15362" width="11" style="13" customWidth="1"/>
    <col min="15363" max="15363" width="12.5703125" style="13" customWidth="1"/>
    <col min="15364" max="15617" width="9.140625" style="13"/>
    <col min="15618" max="15618" width="11" style="13" customWidth="1"/>
    <col min="15619" max="15619" width="12.5703125" style="13" customWidth="1"/>
    <col min="15620" max="15873" width="9.140625" style="13"/>
    <col min="15874" max="15874" width="11" style="13" customWidth="1"/>
    <col min="15875" max="15875" width="12.5703125" style="13" customWidth="1"/>
    <col min="15876" max="16129" width="9.140625" style="13"/>
    <col min="16130" max="16130" width="11" style="13" customWidth="1"/>
    <col min="16131" max="16131" width="12.5703125" style="13" customWidth="1"/>
    <col min="16132" max="16384" width="9.140625" style="13"/>
  </cols>
  <sheetData>
    <row r="1" spans="1:10" x14ac:dyDescent="0.2">
      <c r="A1" s="1"/>
      <c r="B1" s="2"/>
      <c r="C1" s="2"/>
      <c r="D1" s="2"/>
      <c r="E1" s="2"/>
      <c r="F1" s="2"/>
      <c r="G1" s="2"/>
      <c r="H1" s="2"/>
      <c r="I1" s="2"/>
      <c r="J1" s="3"/>
    </row>
    <row r="2" spans="1:10" x14ac:dyDescent="0.2">
      <c r="A2" s="4"/>
      <c r="B2" s="5"/>
      <c r="C2" s="5"/>
      <c r="D2" s="5"/>
      <c r="E2" s="5"/>
      <c r="F2" s="5"/>
      <c r="G2" s="5"/>
      <c r="H2" s="5"/>
      <c r="I2" s="5"/>
      <c r="J2" s="6"/>
    </row>
    <row r="3" spans="1:10" ht="18" x14ac:dyDescent="0.25">
      <c r="A3" s="95" t="s">
        <v>0</v>
      </c>
      <c r="B3" s="96"/>
      <c r="C3" s="96"/>
      <c r="D3" s="96"/>
      <c r="E3" s="96"/>
      <c r="F3" s="96"/>
      <c r="G3" s="96"/>
      <c r="H3" s="5"/>
      <c r="I3" s="5"/>
      <c r="J3" s="6"/>
    </row>
    <row r="4" spans="1:10" x14ac:dyDescent="0.2">
      <c r="A4" s="4"/>
      <c r="B4" s="5"/>
      <c r="C4" s="5"/>
      <c r="D4" s="5"/>
      <c r="E4" s="5"/>
      <c r="F4" s="5"/>
      <c r="G4" s="5"/>
      <c r="H4" s="5"/>
      <c r="I4" s="5"/>
      <c r="J4" s="6"/>
    </row>
    <row r="5" spans="1:10" ht="15" thickBot="1" x14ac:dyDescent="0.25">
      <c r="A5" s="4"/>
      <c r="B5" s="5"/>
      <c r="C5" s="5"/>
      <c r="D5" s="5"/>
      <c r="E5" s="5"/>
      <c r="F5" s="5"/>
      <c r="G5" s="5"/>
      <c r="H5" s="5"/>
      <c r="I5" s="5"/>
      <c r="J5" s="6"/>
    </row>
    <row r="6" spans="1:10" ht="15" thickBot="1" x14ac:dyDescent="0.25">
      <c r="A6" s="90" t="s">
        <v>1</v>
      </c>
      <c r="B6" s="91"/>
      <c r="C6" s="91"/>
      <c r="D6" s="91"/>
      <c r="E6" s="91"/>
      <c r="F6" s="91"/>
      <c r="G6" s="91"/>
      <c r="H6" s="91"/>
      <c r="I6" s="91"/>
      <c r="J6" s="92"/>
    </row>
    <row r="7" spans="1:10" x14ac:dyDescent="0.2">
      <c r="A7" s="4"/>
      <c r="B7" s="5"/>
      <c r="C7" s="5"/>
      <c r="D7" s="5"/>
      <c r="E7" s="5"/>
      <c r="F7" s="5"/>
      <c r="G7" s="5"/>
      <c r="H7" s="5"/>
      <c r="I7" s="5"/>
      <c r="J7" s="6"/>
    </row>
    <row r="8" spans="1:10" ht="18.75" customHeight="1" x14ac:dyDescent="0.2">
      <c r="A8" s="86" t="s">
        <v>2</v>
      </c>
      <c r="B8" s="87"/>
      <c r="C8" s="87"/>
      <c r="D8" s="87"/>
      <c r="E8" s="88">
        <f>'VENDOR DB'!B2</f>
        <v>0</v>
      </c>
      <c r="F8" s="88"/>
      <c r="G8" s="88"/>
      <c r="H8" s="88"/>
      <c r="I8" s="88"/>
      <c r="J8" s="89"/>
    </row>
    <row r="9" spans="1:10" x14ac:dyDescent="0.2">
      <c r="A9" s="7"/>
      <c r="B9" s="8"/>
      <c r="C9" s="8"/>
      <c r="D9" s="8"/>
      <c r="E9" s="14"/>
      <c r="F9" s="14"/>
      <c r="G9" s="14"/>
      <c r="H9" s="14"/>
      <c r="I9" s="14"/>
      <c r="J9" s="15"/>
    </row>
    <row r="10" spans="1:10" ht="18.75" customHeight="1" x14ac:dyDescent="0.2">
      <c r="A10" s="86" t="s">
        <v>3</v>
      </c>
      <c r="B10" s="87"/>
      <c r="C10" s="87"/>
      <c r="D10" s="87"/>
      <c r="E10" s="97">
        <f>'VENDOR DB'!A2</f>
        <v>0</v>
      </c>
      <c r="F10" s="88"/>
      <c r="G10" s="88"/>
      <c r="H10" s="88"/>
      <c r="I10" s="88"/>
      <c r="J10" s="89"/>
    </row>
    <row r="11" spans="1:10" x14ac:dyDescent="0.2">
      <c r="A11" s="7"/>
      <c r="B11" s="8"/>
      <c r="C11" s="8"/>
      <c r="D11" s="8"/>
      <c r="E11" s="14"/>
      <c r="F11" s="14"/>
      <c r="G11" s="14"/>
      <c r="H11" s="14"/>
      <c r="I11" s="14"/>
      <c r="J11" s="15"/>
    </row>
    <row r="12" spans="1:10" x14ac:dyDescent="0.2">
      <c r="A12" s="86" t="s">
        <v>4</v>
      </c>
      <c r="B12" s="87"/>
      <c r="C12" s="87"/>
      <c r="D12" s="87"/>
      <c r="E12" s="88">
        <f>'VENDOR DB'!D2</f>
        <v>0</v>
      </c>
      <c r="F12" s="88"/>
      <c r="G12" s="88"/>
      <c r="H12" s="88"/>
      <c r="I12" s="88"/>
      <c r="J12" s="89"/>
    </row>
    <row r="13" spans="1:10" x14ac:dyDescent="0.2">
      <c r="A13" s="4"/>
      <c r="B13" s="5"/>
      <c r="C13" s="5"/>
      <c r="D13" s="5"/>
      <c r="E13" s="14"/>
      <c r="F13" s="14"/>
      <c r="G13" s="14"/>
      <c r="H13" s="14"/>
      <c r="I13" s="14"/>
      <c r="J13" s="15"/>
    </row>
    <row r="14" spans="1:10" ht="32.25" customHeight="1" x14ac:dyDescent="0.2">
      <c r="A14" s="86" t="s">
        <v>5</v>
      </c>
      <c r="B14" s="87"/>
      <c r="C14" s="87"/>
      <c r="D14" s="87"/>
      <c r="E14" s="88">
        <f>'VENDOR DB'!E2</f>
        <v>0</v>
      </c>
      <c r="F14" s="88"/>
      <c r="G14" s="88"/>
      <c r="H14" s="88"/>
      <c r="I14" s="88"/>
      <c r="J14" s="89"/>
    </row>
    <row r="15" spans="1:10" x14ac:dyDescent="0.2">
      <c r="A15" s="4"/>
      <c r="B15" s="5"/>
      <c r="C15" s="5"/>
      <c r="D15" s="5"/>
      <c r="E15" s="14"/>
      <c r="F15" s="14"/>
      <c r="G15" s="14"/>
      <c r="H15" s="14"/>
      <c r="I15" s="14"/>
      <c r="J15" s="15"/>
    </row>
    <row r="16" spans="1:10" x14ac:dyDescent="0.2">
      <c r="A16" s="86" t="s">
        <v>6</v>
      </c>
      <c r="B16" s="87"/>
      <c r="C16" s="87"/>
      <c r="D16" s="87"/>
      <c r="E16" s="88">
        <f>'VENDOR DB'!F2</f>
        <v>0</v>
      </c>
      <c r="F16" s="88"/>
      <c r="G16" s="88"/>
      <c r="H16" s="88"/>
      <c r="I16" s="88"/>
      <c r="J16" s="89"/>
    </row>
    <row r="17" spans="1:10" x14ac:dyDescent="0.2">
      <c r="A17" s="4"/>
      <c r="B17" s="5"/>
      <c r="C17" s="5"/>
      <c r="D17" s="5"/>
      <c r="E17" s="14"/>
      <c r="F17" s="14"/>
      <c r="G17" s="14"/>
      <c r="H17" s="14"/>
      <c r="I17" s="14"/>
      <c r="J17" s="15"/>
    </row>
    <row r="18" spans="1:10" ht="40.5" customHeight="1" x14ac:dyDescent="0.2">
      <c r="A18" s="86" t="s">
        <v>7</v>
      </c>
      <c r="B18" s="87"/>
      <c r="C18" s="87"/>
      <c r="D18" s="87"/>
      <c r="E18" s="93">
        <f>'VENDOR DB'!G2</f>
        <v>0</v>
      </c>
      <c r="F18" s="93"/>
      <c r="G18" s="93"/>
      <c r="H18" s="93"/>
      <c r="I18" s="93"/>
      <c r="J18" s="94"/>
    </row>
    <row r="19" spans="1:10" ht="15.75" customHeight="1" x14ac:dyDescent="0.2">
      <c r="A19" s="7"/>
      <c r="B19" s="8"/>
      <c r="C19" s="8"/>
      <c r="D19" s="8"/>
      <c r="E19" s="16"/>
      <c r="F19" s="16"/>
      <c r="G19" s="16"/>
      <c r="H19" s="16"/>
      <c r="I19" s="16"/>
      <c r="J19" s="17"/>
    </row>
    <row r="20" spans="1:10" x14ac:dyDescent="0.2">
      <c r="A20" s="86" t="s">
        <v>8</v>
      </c>
      <c r="B20" s="87"/>
      <c r="C20" s="87"/>
      <c r="D20" s="87"/>
      <c r="E20" s="88">
        <f>'VENDOR DB'!H2</f>
        <v>0</v>
      </c>
      <c r="F20" s="88"/>
      <c r="G20" s="88"/>
      <c r="H20" s="88"/>
      <c r="I20" s="88"/>
      <c r="J20" s="89"/>
    </row>
    <row r="21" spans="1:10" x14ac:dyDescent="0.2">
      <c r="A21" s="4"/>
      <c r="B21" s="5"/>
      <c r="C21" s="5"/>
      <c r="D21" s="5"/>
      <c r="E21" s="14"/>
      <c r="F21" s="14"/>
      <c r="G21" s="14"/>
      <c r="H21" s="14"/>
      <c r="I21" s="14"/>
      <c r="J21" s="15"/>
    </row>
    <row r="22" spans="1:10" ht="40.5" customHeight="1" x14ac:dyDescent="0.2">
      <c r="A22" s="86" t="s">
        <v>9</v>
      </c>
      <c r="B22" s="87"/>
      <c r="C22" s="87"/>
      <c r="D22" s="87"/>
      <c r="E22" s="93">
        <f>'VENDOR DB'!I2</f>
        <v>0</v>
      </c>
      <c r="F22" s="93"/>
      <c r="G22" s="93"/>
      <c r="H22" s="93"/>
      <c r="I22" s="93"/>
      <c r="J22" s="94"/>
    </row>
    <row r="23" spans="1:10" ht="15" thickBot="1" x14ac:dyDescent="0.25">
      <c r="A23" s="4"/>
      <c r="B23" s="5"/>
      <c r="C23" s="5"/>
      <c r="D23" s="5"/>
      <c r="E23" s="9"/>
      <c r="F23" s="9"/>
      <c r="G23" s="9"/>
      <c r="H23" s="9"/>
      <c r="I23" s="9"/>
      <c r="J23" s="10"/>
    </row>
    <row r="24" spans="1:10" ht="15" thickBot="1" x14ac:dyDescent="0.25">
      <c r="A24" s="90" t="s">
        <v>10</v>
      </c>
      <c r="B24" s="91"/>
      <c r="C24" s="91"/>
      <c r="D24" s="91"/>
      <c r="E24" s="91"/>
      <c r="F24" s="91"/>
      <c r="G24" s="91"/>
      <c r="H24" s="91"/>
      <c r="I24" s="91"/>
      <c r="J24" s="92"/>
    </row>
    <row r="25" spans="1:10" x14ac:dyDescent="0.2">
      <c r="A25" s="4"/>
      <c r="B25" s="5"/>
      <c r="C25" s="5"/>
      <c r="D25" s="5"/>
      <c r="E25" s="5"/>
      <c r="F25" s="5"/>
      <c r="G25" s="5"/>
      <c r="H25" s="5"/>
      <c r="I25" s="5"/>
      <c r="J25" s="6"/>
    </row>
    <row r="26" spans="1:10" x14ac:dyDescent="0.2">
      <c r="A26" s="86" t="s">
        <v>11</v>
      </c>
      <c r="B26" s="87"/>
      <c r="C26" s="87"/>
      <c r="D26" s="87"/>
      <c r="E26" s="88">
        <f>'VENDOR DB'!J2</f>
        <v>0</v>
      </c>
      <c r="F26" s="88"/>
      <c r="G26" s="88"/>
      <c r="H26" s="88"/>
      <c r="I26" s="88"/>
      <c r="J26" s="89"/>
    </row>
    <row r="27" spans="1:10" x14ac:dyDescent="0.2">
      <c r="A27" s="4"/>
      <c r="B27" s="5"/>
      <c r="C27" s="5"/>
      <c r="D27" s="5"/>
      <c r="E27" s="14"/>
      <c r="F27" s="14"/>
      <c r="G27" s="14"/>
      <c r="H27" s="14"/>
      <c r="I27" s="14"/>
      <c r="J27" s="15"/>
    </row>
    <row r="28" spans="1:10" x14ac:dyDescent="0.2">
      <c r="A28" s="86" t="s">
        <v>12</v>
      </c>
      <c r="B28" s="87"/>
      <c r="C28" s="87"/>
      <c r="D28" s="87"/>
      <c r="E28" s="88">
        <f>'VENDOR DB'!K2</f>
        <v>0</v>
      </c>
      <c r="F28" s="88"/>
      <c r="G28" s="88"/>
      <c r="H28" s="88"/>
      <c r="I28" s="88"/>
      <c r="J28" s="89"/>
    </row>
    <row r="29" spans="1:10" x14ac:dyDescent="0.2">
      <c r="A29" s="4"/>
      <c r="B29" s="5"/>
      <c r="C29" s="5"/>
      <c r="D29" s="5"/>
      <c r="E29" s="14"/>
      <c r="F29" s="14"/>
      <c r="G29" s="14"/>
      <c r="H29" s="14"/>
      <c r="I29" s="14"/>
      <c r="J29" s="15"/>
    </row>
    <row r="30" spans="1:10" x14ac:dyDescent="0.2">
      <c r="A30" s="86" t="s">
        <v>13</v>
      </c>
      <c r="B30" s="87"/>
      <c r="C30" s="87"/>
      <c r="D30" s="87"/>
      <c r="E30" s="88">
        <f>'VENDOR DB'!L2</f>
        <v>0</v>
      </c>
      <c r="F30" s="88"/>
      <c r="G30" s="88"/>
      <c r="H30" s="88"/>
      <c r="I30" s="88"/>
      <c r="J30" s="89"/>
    </row>
    <row r="31" spans="1:10" ht="15" thickBot="1" x14ac:dyDescent="0.25">
      <c r="A31" s="4"/>
      <c r="B31" s="5"/>
      <c r="C31" s="5"/>
      <c r="D31" s="5"/>
      <c r="E31" s="5"/>
      <c r="F31" s="5"/>
      <c r="G31" s="5"/>
      <c r="H31" s="5"/>
      <c r="I31" s="5"/>
      <c r="J31" s="6"/>
    </row>
    <row r="32" spans="1:10" ht="15" thickBot="1" x14ac:dyDescent="0.25">
      <c r="A32" s="90" t="s">
        <v>14</v>
      </c>
      <c r="B32" s="91"/>
      <c r="C32" s="91"/>
      <c r="D32" s="91"/>
      <c r="E32" s="91"/>
      <c r="F32" s="91"/>
      <c r="G32" s="91"/>
      <c r="H32" s="91"/>
      <c r="I32" s="91"/>
      <c r="J32" s="92"/>
    </row>
    <row r="33" spans="1:10" x14ac:dyDescent="0.2">
      <c r="A33" s="4"/>
      <c r="B33" s="5"/>
      <c r="C33" s="5"/>
      <c r="D33" s="5"/>
      <c r="E33" s="5"/>
      <c r="F33" s="5"/>
      <c r="G33" s="5"/>
      <c r="H33" s="5"/>
      <c r="I33" s="5"/>
      <c r="J33" s="6"/>
    </row>
    <row r="34" spans="1:10" ht="14.25" customHeight="1" x14ac:dyDescent="0.2">
      <c r="A34" s="86" t="s">
        <v>15</v>
      </c>
      <c r="B34" s="87"/>
      <c r="C34" s="87"/>
      <c r="D34" s="87"/>
      <c r="E34" s="88">
        <f>'VENDOR DB'!M2</f>
        <v>0</v>
      </c>
      <c r="F34" s="88"/>
      <c r="G34" s="88"/>
      <c r="H34" s="88"/>
      <c r="I34" s="88"/>
      <c r="J34" s="89"/>
    </row>
    <row r="35" spans="1:10" x14ac:dyDescent="0.2">
      <c r="A35" s="4"/>
      <c r="B35" s="5"/>
      <c r="C35" s="5"/>
      <c r="D35" s="5"/>
      <c r="E35" s="14"/>
      <c r="F35" s="14"/>
      <c r="G35" s="14"/>
      <c r="H35" s="14"/>
      <c r="I35" s="14"/>
      <c r="J35" s="15"/>
    </row>
    <row r="36" spans="1:10" x14ac:dyDescent="0.2">
      <c r="A36" s="86" t="s">
        <v>16</v>
      </c>
      <c r="B36" s="87"/>
      <c r="C36" s="87"/>
      <c r="D36" s="87"/>
      <c r="E36" s="88">
        <f>'VENDOR DB'!N2</f>
        <v>0</v>
      </c>
      <c r="F36" s="88"/>
      <c r="G36" s="88"/>
      <c r="H36" s="88"/>
      <c r="I36" s="88"/>
      <c r="J36" s="89"/>
    </row>
    <row r="37" spans="1:10" x14ac:dyDescent="0.2">
      <c r="A37" s="4"/>
      <c r="B37" s="5"/>
      <c r="C37" s="5"/>
      <c r="D37" s="5"/>
      <c r="E37" s="14"/>
      <c r="F37" s="14"/>
      <c r="G37" s="14"/>
      <c r="H37" s="14"/>
      <c r="I37" s="14"/>
      <c r="J37" s="15"/>
    </row>
    <row r="38" spans="1:10" ht="14.25" customHeight="1" x14ac:dyDescent="0.2">
      <c r="A38" s="86" t="s">
        <v>17</v>
      </c>
      <c r="B38" s="87"/>
      <c r="C38" s="87"/>
      <c r="D38" s="87"/>
      <c r="E38" s="88">
        <f>'VENDOR DB'!O2</f>
        <v>0</v>
      </c>
      <c r="F38" s="88"/>
      <c r="G38" s="88"/>
      <c r="H38" s="88"/>
      <c r="I38" s="88"/>
      <c r="J38" s="89"/>
    </row>
    <row r="39" spans="1:10" x14ac:dyDescent="0.2">
      <c r="A39" s="4"/>
      <c r="B39" s="5"/>
      <c r="C39" s="5"/>
      <c r="D39" s="5"/>
      <c r="E39" s="14"/>
      <c r="F39" s="14"/>
      <c r="G39" s="14"/>
      <c r="H39" s="14"/>
      <c r="I39" s="14"/>
      <c r="J39" s="15"/>
    </row>
    <row r="40" spans="1:10" ht="14.25" customHeight="1" x14ac:dyDescent="0.2">
      <c r="A40" s="86" t="s">
        <v>18</v>
      </c>
      <c r="B40" s="87"/>
      <c r="C40" s="87"/>
      <c r="D40" s="87"/>
      <c r="E40" s="88">
        <f>'VENDOR DB'!P2</f>
        <v>0</v>
      </c>
      <c r="F40" s="88"/>
      <c r="G40" s="88"/>
      <c r="H40" s="88"/>
      <c r="I40" s="88"/>
      <c r="J40" s="89"/>
    </row>
    <row r="41" spans="1:10" x14ac:dyDescent="0.2">
      <c r="A41" s="4"/>
      <c r="B41" s="5"/>
      <c r="C41" s="5"/>
      <c r="D41" s="5"/>
      <c r="E41" s="14"/>
      <c r="F41" s="14"/>
      <c r="G41" s="14"/>
      <c r="H41" s="14"/>
      <c r="I41" s="14"/>
      <c r="J41" s="15"/>
    </row>
    <row r="42" spans="1:10" x14ac:dyDescent="0.2">
      <c r="A42" s="86" t="s">
        <v>19</v>
      </c>
      <c r="B42" s="87"/>
      <c r="C42" s="87"/>
      <c r="D42" s="87"/>
      <c r="E42" s="88">
        <f>'VENDOR DB'!Q2</f>
        <v>0</v>
      </c>
      <c r="F42" s="88"/>
      <c r="G42" s="88"/>
      <c r="H42" s="88"/>
      <c r="I42" s="88"/>
      <c r="J42" s="89"/>
    </row>
    <row r="43" spans="1:10" ht="15" thickBot="1" x14ac:dyDescent="0.25">
      <c r="A43" s="4"/>
      <c r="B43" s="5"/>
      <c r="C43" s="5"/>
      <c r="D43" s="5"/>
      <c r="E43" s="14"/>
      <c r="F43" s="14"/>
      <c r="G43" s="14"/>
      <c r="H43" s="14"/>
      <c r="I43" s="14"/>
      <c r="J43" s="15"/>
    </row>
    <row r="44" spans="1:10" ht="15" thickBot="1" x14ac:dyDescent="0.25">
      <c r="A44" s="90" t="s">
        <v>20</v>
      </c>
      <c r="B44" s="91"/>
      <c r="C44" s="91"/>
      <c r="D44" s="91"/>
      <c r="E44" s="91"/>
      <c r="F44" s="91"/>
      <c r="G44" s="91"/>
      <c r="H44" s="91"/>
      <c r="I44" s="91"/>
      <c r="J44" s="92"/>
    </row>
    <row r="45" spans="1:10" x14ac:dyDescent="0.2">
      <c r="A45" s="4"/>
      <c r="B45" s="5"/>
      <c r="C45" s="5"/>
      <c r="D45" s="5"/>
      <c r="E45" s="5"/>
      <c r="F45" s="5"/>
      <c r="G45" s="5"/>
      <c r="H45" s="5"/>
      <c r="I45" s="5"/>
      <c r="J45" s="6"/>
    </row>
    <row r="46" spans="1:10" x14ac:dyDescent="0.2">
      <c r="A46" s="86" t="s">
        <v>21</v>
      </c>
      <c r="B46" s="87"/>
      <c r="C46" s="87"/>
      <c r="D46" s="87"/>
      <c r="E46" s="88">
        <f>'VENDOR DB'!R2</f>
        <v>0</v>
      </c>
      <c r="F46" s="88"/>
      <c r="G46" s="88"/>
      <c r="H46" s="88"/>
      <c r="I46" s="88"/>
      <c r="J46" s="89"/>
    </row>
    <row r="47" spans="1:10" x14ac:dyDescent="0.2">
      <c r="A47" s="4"/>
      <c r="B47" s="5"/>
      <c r="C47" s="5"/>
      <c r="D47" s="5"/>
      <c r="E47" s="14"/>
      <c r="F47" s="14"/>
      <c r="G47" s="14"/>
      <c r="H47" s="14"/>
      <c r="I47" s="14"/>
      <c r="J47" s="15"/>
    </row>
    <row r="48" spans="1:10" ht="14.25" customHeight="1" x14ac:dyDescent="0.2">
      <c r="A48" s="86" t="s">
        <v>22</v>
      </c>
      <c r="B48" s="87"/>
      <c r="C48" s="87"/>
      <c r="D48" s="87"/>
      <c r="E48" s="88">
        <f>'VENDOR DB'!S2</f>
        <v>0</v>
      </c>
      <c r="F48" s="88"/>
      <c r="G48" s="88"/>
      <c r="H48" s="88"/>
      <c r="I48" s="88"/>
      <c r="J48" s="89"/>
    </row>
    <row r="49" spans="1:10" x14ac:dyDescent="0.2">
      <c r="A49" s="4"/>
      <c r="B49" s="5"/>
      <c r="C49" s="5"/>
      <c r="D49" s="5"/>
      <c r="E49" s="14"/>
      <c r="F49" s="14"/>
      <c r="G49" s="14"/>
      <c r="H49" s="14"/>
      <c r="I49" s="14"/>
      <c r="J49" s="15"/>
    </row>
    <row r="50" spans="1:10" ht="14.25" customHeight="1" x14ac:dyDescent="0.2">
      <c r="A50" s="86" t="s">
        <v>23</v>
      </c>
      <c r="B50" s="87"/>
      <c r="C50" s="87"/>
      <c r="D50" s="87"/>
      <c r="E50" s="88">
        <f>'VENDOR DB'!T2</f>
        <v>0</v>
      </c>
      <c r="F50" s="88"/>
      <c r="G50" s="88"/>
      <c r="H50" s="88"/>
      <c r="I50" s="88"/>
      <c r="J50" s="89"/>
    </row>
    <row r="51" spans="1:10" x14ac:dyDescent="0.2">
      <c r="A51" s="4"/>
      <c r="B51" s="5"/>
      <c r="C51" s="5"/>
      <c r="D51" s="5"/>
      <c r="E51" s="14"/>
      <c r="F51" s="14"/>
      <c r="G51" s="14"/>
      <c r="H51" s="14"/>
      <c r="I51" s="14"/>
      <c r="J51" s="15"/>
    </row>
    <row r="52" spans="1:10" ht="14.25" customHeight="1" x14ac:dyDescent="0.2">
      <c r="A52" s="86" t="s">
        <v>24</v>
      </c>
      <c r="B52" s="87"/>
      <c r="C52" s="87"/>
      <c r="D52" s="87"/>
      <c r="E52" s="88">
        <f>'VENDOR DB'!U2</f>
        <v>0</v>
      </c>
      <c r="F52" s="88"/>
      <c r="G52" s="88"/>
      <c r="H52" s="88"/>
      <c r="I52" s="88"/>
      <c r="J52" s="89"/>
    </row>
    <row r="53" spans="1:10" ht="15" thickBot="1" x14ac:dyDescent="0.25">
      <c r="A53" s="11"/>
      <c r="B53" s="12"/>
      <c r="C53" s="12"/>
      <c r="D53" s="12"/>
      <c r="E53" s="18"/>
      <c r="F53" s="18"/>
      <c r="G53" s="18"/>
      <c r="H53" s="18"/>
      <c r="I53" s="18"/>
      <c r="J53" s="19"/>
    </row>
  </sheetData>
  <mergeCells count="45">
    <mergeCell ref="A3:G3"/>
    <mergeCell ref="A6:J6"/>
    <mergeCell ref="A8:D8"/>
    <mergeCell ref="E8:J8"/>
    <mergeCell ref="A10:D10"/>
    <mergeCell ref="E10:J10"/>
    <mergeCell ref="A12:D12"/>
    <mergeCell ref="E12:J12"/>
    <mergeCell ref="A14:D14"/>
    <mergeCell ref="E14:J14"/>
    <mergeCell ref="A16:D16"/>
    <mergeCell ref="E16:J16"/>
    <mergeCell ref="A30:D30"/>
    <mergeCell ref="E30:J30"/>
    <mergeCell ref="A18:D18"/>
    <mergeCell ref="E18:J18"/>
    <mergeCell ref="A20:D20"/>
    <mergeCell ref="E20:J20"/>
    <mergeCell ref="A22:D22"/>
    <mergeCell ref="E22:J22"/>
    <mergeCell ref="A24:J24"/>
    <mergeCell ref="A26:D26"/>
    <mergeCell ref="E26:J26"/>
    <mergeCell ref="A28:D28"/>
    <mergeCell ref="E28:J28"/>
    <mergeCell ref="A46:D46"/>
    <mergeCell ref="E46:J46"/>
    <mergeCell ref="A32:J32"/>
    <mergeCell ref="A34:D34"/>
    <mergeCell ref="E34:J34"/>
    <mergeCell ref="A36:D36"/>
    <mergeCell ref="E36:J36"/>
    <mergeCell ref="A38:D38"/>
    <mergeCell ref="E38:J38"/>
    <mergeCell ref="A40:D40"/>
    <mergeCell ref="E40:J40"/>
    <mergeCell ref="A42:D42"/>
    <mergeCell ref="E42:J42"/>
    <mergeCell ref="A44:J44"/>
    <mergeCell ref="A48:D48"/>
    <mergeCell ref="E48:J48"/>
    <mergeCell ref="A50:D50"/>
    <mergeCell ref="E50:J50"/>
    <mergeCell ref="A52:D52"/>
    <mergeCell ref="E52:J52"/>
  </mergeCells>
  <pageMargins left="0.41" right="0.27" top="0.43307086614173229" bottom="0.35433070866141736" header="0.31496062992125984" footer="0.19685039370078741"/>
  <pageSetup paperSize="9"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42"/>
  <sheetViews>
    <sheetView topLeftCell="A14" workbookViewId="0">
      <selection activeCell="A25" sqref="A25:U25"/>
    </sheetView>
  </sheetViews>
  <sheetFormatPr defaultRowHeight="15" x14ac:dyDescent="0.25"/>
  <cols>
    <col min="1" max="1" width="19.42578125" customWidth="1"/>
    <col min="2" max="2" width="26" bestFit="1" customWidth="1"/>
    <col min="3" max="3" width="26" style="73" customWidth="1"/>
    <col min="4" max="4" width="14" customWidth="1"/>
    <col min="5" max="5" width="21.42578125" bestFit="1" customWidth="1"/>
    <col min="6" max="6" width="20.140625" bestFit="1" customWidth="1"/>
    <col min="7" max="7" width="15.7109375" bestFit="1" customWidth="1"/>
    <col min="8" max="8" width="19.5703125" bestFit="1" customWidth="1"/>
    <col min="10" max="10" width="13.140625" bestFit="1" customWidth="1"/>
  </cols>
  <sheetData>
    <row r="1" spans="1:22" x14ac:dyDescent="0.25">
      <c r="A1" t="s">
        <v>25</v>
      </c>
      <c r="B1" t="s">
        <v>26</v>
      </c>
      <c r="C1" s="73" t="s">
        <v>196</v>
      </c>
      <c r="D1" t="s">
        <v>44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</row>
    <row r="2" spans="1:22" x14ac:dyDescent="0.25">
      <c r="A2" s="74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t="s">
        <v>195</v>
      </c>
    </row>
    <row r="3" spans="1:22" x14ac:dyDescent="0.25">
      <c r="A3" s="73" t="e">
        <f>VLOOKUP(B2,Master!A1:B16,2,0)&amp;"/"&amp;COUNTIF($B$12:$B$999958,B2)+1</f>
        <v>#N/A</v>
      </c>
    </row>
    <row r="4" spans="1:22" x14ac:dyDescent="0.25">
      <c r="A4">
        <f>COUNTIF(B2:U2,"")</f>
        <v>20</v>
      </c>
    </row>
    <row r="5" spans="1:22" x14ac:dyDescent="0.25">
      <c r="A5">
        <f>COUNTA(A11:A999987)+11</f>
        <v>26</v>
      </c>
    </row>
    <row r="6" spans="1:22" x14ac:dyDescent="0.25">
      <c r="B6" s="76" t="e">
        <f>MATCH(A2,A11:A999987,0)+10</f>
        <v>#N/A</v>
      </c>
      <c r="C6" s="76"/>
    </row>
    <row r="11" spans="1:22" x14ac:dyDescent="0.25">
      <c r="A11" s="73" t="s">
        <v>25</v>
      </c>
      <c r="B11" s="73" t="s">
        <v>26</v>
      </c>
      <c r="D11" s="73" t="s">
        <v>44</v>
      </c>
      <c r="E11" s="73" t="s">
        <v>27</v>
      </c>
      <c r="F11" s="73" t="s">
        <v>28</v>
      </c>
      <c r="G11" s="73" t="s">
        <v>29</v>
      </c>
      <c r="H11" s="73" t="s">
        <v>30</v>
      </c>
      <c r="I11" s="73" t="s">
        <v>31</v>
      </c>
      <c r="J11" s="73" t="s">
        <v>32</v>
      </c>
      <c r="K11" s="73" t="s">
        <v>33</v>
      </c>
      <c r="L11" s="73" t="s">
        <v>34</v>
      </c>
      <c r="M11" s="73" t="s">
        <v>35</v>
      </c>
      <c r="N11" s="73" t="s">
        <v>36</v>
      </c>
      <c r="O11" s="73" t="s">
        <v>37</v>
      </c>
      <c r="P11" s="73" t="s">
        <v>38</v>
      </c>
      <c r="Q11" s="73" t="s">
        <v>39</v>
      </c>
      <c r="R11" s="73" t="s">
        <v>40</v>
      </c>
      <c r="S11" s="73" t="s">
        <v>41</v>
      </c>
      <c r="T11" s="73" t="s">
        <v>42</v>
      </c>
      <c r="U11" s="73" t="s">
        <v>43</v>
      </c>
    </row>
    <row r="12" spans="1:22" s="73" customFormat="1" x14ac:dyDescent="0.25">
      <c r="A12" s="74" t="s">
        <v>218</v>
      </c>
      <c r="B12" s="75" t="s">
        <v>182</v>
      </c>
      <c r="C12" s="75"/>
      <c r="D12" s="75" t="s">
        <v>211</v>
      </c>
      <c r="E12" s="75" t="s">
        <v>219</v>
      </c>
      <c r="F12" s="75" t="s">
        <v>220</v>
      </c>
      <c r="G12" s="75" t="s">
        <v>221</v>
      </c>
      <c r="H12" s="75" t="s">
        <v>222</v>
      </c>
      <c r="I12" s="75" t="s">
        <v>214</v>
      </c>
      <c r="J12" s="75" t="s">
        <v>224</v>
      </c>
      <c r="K12" s="75" t="s">
        <v>223</v>
      </c>
      <c r="L12" s="75" t="s">
        <v>214</v>
      </c>
      <c r="M12" s="75" t="s">
        <v>214</v>
      </c>
      <c r="N12" s="75" t="s">
        <v>214</v>
      </c>
      <c r="O12" s="75" t="s">
        <v>214</v>
      </c>
      <c r="P12" s="75" t="s">
        <v>214</v>
      </c>
      <c r="Q12" s="75" t="s">
        <v>214</v>
      </c>
      <c r="R12" s="75" t="s">
        <v>214</v>
      </c>
      <c r="S12" s="75" t="s">
        <v>214</v>
      </c>
      <c r="T12" s="75" t="s">
        <v>214</v>
      </c>
      <c r="U12" s="75" t="s">
        <v>214</v>
      </c>
      <c r="V12" s="73" t="s">
        <v>195</v>
      </c>
    </row>
    <row r="13" spans="1:22" x14ac:dyDescent="0.25">
      <c r="A13" s="73" t="s">
        <v>234</v>
      </c>
      <c r="B13" s="73" t="s">
        <v>182</v>
      </c>
      <c r="D13" s="73" t="s">
        <v>211</v>
      </c>
      <c r="E13" s="73" t="s">
        <v>235</v>
      </c>
      <c r="F13" s="73" t="s">
        <v>236</v>
      </c>
      <c r="G13" s="73" t="s">
        <v>237</v>
      </c>
      <c r="H13" s="73" t="s">
        <v>238</v>
      </c>
      <c r="I13" s="73" t="s">
        <v>214</v>
      </c>
      <c r="J13" s="73" t="s">
        <v>240</v>
      </c>
      <c r="K13" s="73" t="s">
        <v>239</v>
      </c>
      <c r="L13" s="73" t="s">
        <v>214</v>
      </c>
      <c r="M13" s="73" t="s">
        <v>214</v>
      </c>
      <c r="N13" s="73" t="s">
        <v>214</v>
      </c>
      <c r="O13" s="73" t="s">
        <v>214</v>
      </c>
      <c r="P13" s="73" t="s">
        <v>214</v>
      </c>
      <c r="Q13" s="73" t="s">
        <v>214</v>
      </c>
      <c r="R13" s="73" t="s">
        <v>214</v>
      </c>
      <c r="S13" s="73" t="s">
        <v>214</v>
      </c>
      <c r="T13" s="73" t="s">
        <v>214</v>
      </c>
      <c r="U13" s="73" t="s">
        <v>214</v>
      </c>
    </row>
    <row r="14" spans="1:22" s="73" customFormat="1" x14ac:dyDescent="0.25">
      <c r="A14" s="74" t="s">
        <v>248</v>
      </c>
      <c r="B14" s="75" t="s">
        <v>182</v>
      </c>
      <c r="C14" s="75"/>
      <c r="D14" s="75" t="s">
        <v>211</v>
      </c>
      <c r="E14" s="75" t="s">
        <v>249</v>
      </c>
      <c r="F14" s="75" t="s">
        <v>250</v>
      </c>
      <c r="G14" s="75" t="s">
        <v>251</v>
      </c>
      <c r="H14" s="75" t="s">
        <v>252</v>
      </c>
      <c r="I14" s="75" t="s">
        <v>214</v>
      </c>
      <c r="J14" s="75" t="s">
        <v>254</v>
      </c>
      <c r="K14" s="75" t="s">
        <v>253</v>
      </c>
      <c r="L14" s="75" t="s">
        <v>214</v>
      </c>
      <c r="M14" s="75" t="s">
        <v>274</v>
      </c>
      <c r="N14" s="75" t="s">
        <v>275</v>
      </c>
      <c r="O14" s="75" t="s">
        <v>276</v>
      </c>
      <c r="P14" s="75" t="s">
        <v>277</v>
      </c>
      <c r="Q14" s="75" t="s">
        <v>278</v>
      </c>
      <c r="R14" s="75" t="s">
        <v>214</v>
      </c>
      <c r="S14" s="75" t="s">
        <v>214</v>
      </c>
      <c r="T14" s="75" t="s">
        <v>214</v>
      </c>
      <c r="U14" s="75" t="s">
        <v>214</v>
      </c>
      <c r="V14" s="73" t="s">
        <v>195</v>
      </c>
    </row>
    <row r="15" spans="1:22" x14ac:dyDescent="0.25">
      <c r="A15" s="73" t="s">
        <v>261</v>
      </c>
      <c r="B15" s="73" t="s">
        <v>182</v>
      </c>
      <c r="D15" s="73" t="s">
        <v>211</v>
      </c>
      <c r="E15" s="73" t="s">
        <v>262</v>
      </c>
      <c r="F15" s="73" t="s">
        <v>220</v>
      </c>
      <c r="G15" s="73" t="s">
        <v>263</v>
      </c>
      <c r="H15" s="73" t="s">
        <v>266</v>
      </c>
      <c r="I15" s="73" t="s">
        <v>214</v>
      </c>
      <c r="J15" s="73" t="s">
        <v>265</v>
      </c>
      <c r="K15" s="73" t="s">
        <v>264</v>
      </c>
      <c r="L15" s="73" t="s">
        <v>214</v>
      </c>
      <c r="M15" s="73" t="s">
        <v>214</v>
      </c>
      <c r="N15" s="73" t="s">
        <v>214</v>
      </c>
      <c r="O15" s="73" t="s">
        <v>214</v>
      </c>
      <c r="P15" s="73" t="s">
        <v>214</v>
      </c>
      <c r="Q15" s="73" t="s">
        <v>214</v>
      </c>
      <c r="R15" s="73" t="s">
        <v>214</v>
      </c>
      <c r="S15" s="73" t="s">
        <v>214</v>
      </c>
      <c r="T15" s="73" t="s">
        <v>214</v>
      </c>
      <c r="U15" s="73" t="s">
        <v>214</v>
      </c>
    </row>
    <row r="16" spans="1:22" x14ac:dyDescent="0.25">
      <c r="A16" s="73" t="s">
        <v>279</v>
      </c>
      <c r="B16" s="73" t="s">
        <v>182</v>
      </c>
      <c r="D16" s="73" t="s">
        <v>211</v>
      </c>
      <c r="E16" s="73" t="s">
        <v>280</v>
      </c>
      <c r="F16" s="73" t="s">
        <v>281</v>
      </c>
      <c r="G16" s="73" t="s">
        <v>282</v>
      </c>
      <c r="H16" s="73" t="s">
        <v>285</v>
      </c>
      <c r="I16" s="73" t="s">
        <v>214</v>
      </c>
      <c r="J16" s="73" t="s">
        <v>284</v>
      </c>
      <c r="K16" s="73" t="s">
        <v>283</v>
      </c>
      <c r="L16" s="73" t="s">
        <v>214</v>
      </c>
      <c r="M16" s="73" t="s">
        <v>214</v>
      </c>
      <c r="N16" s="73" t="s">
        <v>214</v>
      </c>
      <c r="O16" s="73" t="s">
        <v>214</v>
      </c>
      <c r="P16" s="73" t="s">
        <v>214</v>
      </c>
      <c r="Q16" s="73" t="s">
        <v>214</v>
      </c>
      <c r="R16" s="73" t="s">
        <v>214</v>
      </c>
      <c r="S16" s="73" t="s">
        <v>214</v>
      </c>
      <c r="T16" s="73" t="s">
        <v>214</v>
      </c>
      <c r="U16" s="73" t="s">
        <v>214</v>
      </c>
    </row>
    <row r="17" spans="1:22" x14ac:dyDescent="0.25">
      <c r="A17" t="s">
        <v>324</v>
      </c>
      <c r="B17" t="s">
        <v>182</v>
      </c>
      <c r="D17" t="s">
        <v>211</v>
      </c>
      <c r="E17" s="73" t="s">
        <v>325</v>
      </c>
      <c r="F17" t="s">
        <v>326</v>
      </c>
      <c r="G17" t="s">
        <v>327</v>
      </c>
      <c r="H17" t="s">
        <v>216</v>
      </c>
      <c r="I17" t="s">
        <v>328</v>
      </c>
      <c r="J17" t="s">
        <v>330</v>
      </c>
      <c r="K17" t="s">
        <v>329</v>
      </c>
      <c r="L17" t="s">
        <v>214</v>
      </c>
      <c r="M17" t="s">
        <v>214</v>
      </c>
      <c r="N17" t="s">
        <v>214</v>
      </c>
      <c r="O17" t="s">
        <v>214</v>
      </c>
      <c r="P17" t="s">
        <v>214</v>
      </c>
      <c r="Q17" t="s">
        <v>214</v>
      </c>
      <c r="R17" t="s">
        <v>214</v>
      </c>
      <c r="S17" t="s">
        <v>214</v>
      </c>
      <c r="T17" t="s">
        <v>214</v>
      </c>
      <c r="U17" t="s">
        <v>214</v>
      </c>
    </row>
    <row r="18" spans="1:22" x14ac:dyDescent="0.25">
      <c r="A18" t="s">
        <v>347</v>
      </c>
      <c r="B18" t="s">
        <v>182</v>
      </c>
      <c r="D18" t="s">
        <v>211</v>
      </c>
      <c r="E18" s="73" t="s">
        <v>348</v>
      </c>
      <c r="F18" t="s">
        <v>349</v>
      </c>
      <c r="G18" t="s">
        <v>350</v>
      </c>
      <c r="H18" t="s">
        <v>351</v>
      </c>
      <c r="I18" t="s">
        <v>214</v>
      </c>
      <c r="J18" t="s">
        <v>330</v>
      </c>
      <c r="K18" t="s">
        <v>329</v>
      </c>
      <c r="L18" t="s">
        <v>214</v>
      </c>
      <c r="M18" t="s">
        <v>214</v>
      </c>
      <c r="N18" t="s">
        <v>214</v>
      </c>
      <c r="O18" t="s">
        <v>214</v>
      </c>
      <c r="P18" t="s">
        <v>214</v>
      </c>
      <c r="Q18" t="s">
        <v>214</v>
      </c>
      <c r="R18" t="s">
        <v>214</v>
      </c>
      <c r="S18" t="s">
        <v>214</v>
      </c>
      <c r="T18" t="s">
        <v>214</v>
      </c>
      <c r="U18" t="s">
        <v>214</v>
      </c>
    </row>
    <row r="19" spans="1:22" x14ac:dyDescent="0.25">
      <c r="A19" t="s">
        <v>360</v>
      </c>
      <c r="B19" t="s">
        <v>182</v>
      </c>
      <c r="D19" t="s">
        <v>211</v>
      </c>
      <c r="E19" s="73" t="s">
        <v>361</v>
      </c>
      <c r="F19" t="s">
        <v>362</v>
      </c>
      <c r="G19" t="s">
        <v>214</v>
      </c>
      <c r="H19" t="s">
        <v>214</v>
      </c>
      <c r="I19" t="s">
        <v>214</v>
      </c>
      <c r="J19" t="s">
        <v>364</v>
      </c>
      <c r="K19" t="s">
        <v>363</v>
      </c>
      <c r="L19" t="s">
        <v>214</v>
      </c>
      <c r="M19" t="s">
        <v>214</v>
      </c>
      <c r="N19" t="s">
        <v>214</v>
      </c>
      <c r="O19" t="s">
        <v>214</v>
      </c>
      <c r="P19" t="s">
        <v>214</v>
      </c>
      <c r="Q19" t="s">
        <v>214</v>
      </c>
      <c r="R19" t="s">
        <v>214</v>
      </c>
      <c r="S19" t="s">
        <v>214</v>
      </c>
      <c r="T19" t="s">
        <v>214</v>
      </c>
      <c r="U19" t="s">
        <v>214</v>
      </c>
    </row>
    <row r="20" spans="1:22" s="73" customFormat="1" x14ac:dyDescent="0.25">
      <c r="A20" s="73" t="s">
        <v>369</v>
      </c>
      <c r="B20" s="73" t="s">
        <v>182</v>
      </c>
      <c r="D20" s="73" t="s">
        <v>211</v>
      </c>
      <c r="E20" s="73" t="s">
        <v>370</v>
      </c>
      <c r="F20" s="73" t="s">
        <v>371</v>
      </c>
      <c r="G20" s="73" t="s">
        <v>214</v>
      </c>
      <c r="H20" s="73" t="s">
        <v>214</v>
      </c>
      <c r="I20" s="73" t="s">
        <v>214</v>
      </c>
      <c r="J20" s="73" t="s">
        <v>373</v>
      </c>
      <c r="K20" s="73" t="s">
        <v>372</v>
      </c>
      <c r="L20" s="73" t="s">
        <v>214</v>
      </c>
      <c r="M20" s="73" t="s">
        <v>214</v>
      </c>
      <c r="N20" s="73" t="s">
        <v>214</v>
      </c>
      <c r="O20" s="73" t="s">
        <v>214</v>
      </c>
      <c r="P20" s="73" t="s">
        <v>214</v>
      </c>
      <c r="Q20" s="73" t="s">
        <v>214</v>
      </c>
      <c r="R20" s="73" t="s">
        <v>214</v>
      </c>
      <c r="S20" s="73" t="s">
        <v>214</v>
      </c>
      <c r="T20" s="73" t="s">
        <v>214</v>
      </c>
      <c r="U20" s="73" t="s">
        <v>214</v>
      </c>
    </row>
    <row r="21" spans="1:22" s="73" customFormat="1" x14ac:dyDescent="0.25">
      <c r="A21" s="74" t="s">
        <v>417</v>
      </c>
      <c r="B21" s="75" t="s">
        <v>182</v>
      </c>
      <c r="C21" s="75"/>
      <c r="D21" s="75" t="s">
        <v>211</v>
      </c>
      <c r="E21" s="75" t="s">
        <v>418</v>
      </c>
      <c r="F21" s="75" t="s">
        <v>419</v>
      </c>
      <c r="G21" s="75" t="s">
        <v>420</v>
      </c>
      <c r="H21" s="75" t="s">
        <v>214</v>
      </c>
      <c r="I21" s="75" t="s">
        <v>214</v>
      </c>
      <c r="J21" s="75" t="s">
        <v>330</v>
      </c>
      <c r="K21" s="75" t="s">
        <v>329</v>
      </c>
      <c r="L21" s="75" t="s">
        <v>214</v>
      </c>
      <c r="M21" s="75" t="s">
        <v>214</v>
      </c>
      <c r="N21" s="75" t="s">
        <v>214</v>
      </c>
      <c r="O21" s="75" t="s">
        <v>214</v>
      </c>
      <c r="P21" s="75" t="s">
        <v>214</v>
      </c>
      <c r="Q21" s="75" t="s">
        <v>214</v>
      </c>
      <c r="R21" s="75" t="s">
        <v>214</v>
      </c>
      <c r="S21" s="75" t="s">
        <v>214</v>
      </c>
      <c r="T21" s="75" t="s">
        <v>214</v>
      </c>
      <c r="U21" s="75" t="s">
        <v>214</v>
      </c>
      <c r="V21" s="73" t="s">
        <v>195</v>
      </c>
    </row>
    <row r="22" spans="1:22" s="73" customFormat="1" x14ac:dyDescent="0.25">
      <c r="A22" s="73" t="s">
        <v>436</v>
      </c>
      <c r="B22" s="73" t="s">
        <v>182</v>
      </c>
      <c r="D22" s="73" t="s">
        <v>211</v>
      </c>
      <c r="E22" s="73" t="s">
        <v>437</v>
      </c>
      <c r="F22" s="73" t="s">
        <v>419</v>
      </c>
      <c r="G22" s="73" t="s">
        <v>438</v>
      </c>
      <c r="H22" s="73" t="s">
        <v>214</v>
      </c>
      <c r="I22" s="73" t="s">
        <v>214</v>
      </c>
      <c r="J22" s="73" t="s">
        <v>440</v>
      </c>
      <c r="K22" s="73" t="s">
        <v>439</v>
      </c>
      <c r="L22" s="73" t="s">
        <v>214</v>
      </c>
      <c r="M22" s="73" t="s">
        <v>214</v>
      </c>
      <c r="N22" s="73" t="s">
        <v>214</v>
      </c>
      <c r="O22" s="73" t="s">
        <v>214</v>
      </c>
      <c r="P22" s="73" t="s">
        <v>214</v>
      </c>
      <c r="Q22" s="73" t="s">
        <v>214</v>
      </c>
      <c r="R22" s="73" t="s">
        <v>214</v>
      </c>
      <c r="S22" s="73" t="s">
        <v>214</v>
      </c>
      <c r="T22" s="73" t="s">
        <v>214</v>
      </c>
      <c r="U22" s="73" t="s">
        <v>214</v>
      </c>
    </row>
    <row r="23" spans="1:22" s="73" customFormat="1" x14ac:dyDescent="0.25">
      <c r="A23" s="73" t="s">
        <v>447</v>
      </c>
      <c r="B23" s="73" t="s">
        <v>182</v>
      </c>
      <c r="D23" s="73" t="s">
        <v>211</v>
      </c>
      <c r="E23" s="73" t="s">
        <v>448</v>
      </c>
      <c r="F23" s="73" t="s">
        <v>362</v>
      </c>
      <c r="G23" s="73" t="s">
        <v>449</v>
      </c>
      <c r="H23" s="73" t="s">
        <v>214</v>
      </c>
      <c r="I23" s="73" t="s">
        <v>214</v>
      </c>
      <c r="J23" s="73" t="s">
        <v>330</v>
      </c>
      <c r="K23" s="73" t="s">
        <v>329</v>
      </c>
      <c r="L23" s="73" t="s">
        <v>214</v>
      </c>
      <c r="M23" s="73" t="s">
        <v>214</v>
      </c>
      <c r="N23" s="73" t="s">
        <v>214</v>
      </c>
      <c r="O23" s="73" t="s">
        <v>214</v>
      </c>
      <c r="P23" s="73" t="s">
        <v>214</v>
      </c>
      <c r="Q23" s="73" t="s">
        <v>214</v>
      </c>
      <c r="R23" s="73" t="s">
        <v>214</v>
      </c>
      <c r="S23" s="73" t="s">
        <v>214</v>
      </c>
      <c r="T23" s="73" t="s">
        <v>214</v>
      </c>
      <c r="U23" s="73" t="s">
        <v>214</v>
      </c>
    </row>
    <row r="24" spans="1:22" s="73" customFormat="1" x14ac:dyDescent="0.25">
      <c r="A24" s="73" t="s">
        <v>477</v>
      </c>
      <c r="B24" s="73" t="s">
        <v>182</v>
      </c>
      <c r="D24" s="73" t="s">
        <v>211</v>
      </c>
      <c r="E24" s="73" t="s">
        <v>478</v>
      </c>
      <c r="F24" s="73" t="s">
        <v>362</v>
      </c>
      <c r="G24" s="73" t="s">
        <v>479</v>
      </c>
      <c r="H24" s="73" t="s">
        <v>214</v>
      </c>
      <c r="I24" s="73" t="s">
        <v>214</v>
      </c>
      <c r="J24" s="73" t="s">
        <v>481</v>
      </c>
      <c r="K24" s="73" t="s">
        <v>480</v>
      </c>
      <c r="L24" s="73" t="s">
        <v>214</v>
      </c>
      <c r="M24" s="73" t="s">
        <v>214</v>
      </c>
      <c r="N24" s="73" t="s">
        <v>214</v>
      </c>
      <c r="O24" s="73" t="s">
        <v>214</v>
      </c>
      <c r="P24" s="73" t="s">
        <v>214</v>
      </c>
      <c r="Q24" s="73" t="s">
        <v>214</v>
      </c>
      <c r="R24" s="73" t="s">
        <v>214</v>
      </c>
      <c r="S24" s="73" t="s">
        <v>214</v>
      </c>
      <c r="T24" s="73" t="s">
        <v>214</v>
      </c>
      <c r="U24" s="73" t="s">
        <v>214</v>
      </c>
    </row>
    <row r="25" spans="1:22" s="73" customFormat="1" x14ac:dyDescent="0.25">
      <c r="A25" s="73" t="s">
        <v>517</v>
      </c>
      <c r="B25" s="73" t="s">
        <v>182</v>
      </c>
      <c r="D25" s="73" t="s">
        <v>211</v>
      </c>
      <c r="E25" s="73" t="s">
        <v>518</v>
      </c>
      <c r="F25" s="73" t="s">
        <v>519</v>
      </c>
      <c r="G25" s="73" t="s">
        <v>520</v>
      </c>
      <c r="H25" s="73" t="s">
        <v>214</v>
      </c>
      <c r="I25" s="73" t="s">
        <v>214</v>
      </c>
      <c r="J25" s="73" t="s">
        <v>522</v>
      </c>
      <c r="K25" s="73" t="s">
        <v>521</v>
      </c>
      <c r="L25" s="73" t="s">
        <v>214</v>
      </c>
      <c r="M25" s="73" t="s">
        <v>214</v>
      </c>
      <c r="N25" s="73" t="s">
        <v>214</v>
      </c>
      <c r="O25" s="73" t="s">
        <v>214</v>
      </c>
      <c r="P25" s="73" t="s">
        <v>214</v>
      </c>
      <c r="Q25" s="73" t="s">
        <v>214</v>
      </c>
      <c r="R25" s="73" t="s">
        <v>214</v>
      </c>
      <c r="S25" s="73" t="s">
        <v>214</v>
      </c>
      <c r="T25" s="73" t="s">
        <v>214</v>
      </c>
      <c r="U25" s="73" t="s">
        <v>214</v>
      </c>
    </row>
    <row r="26" spans="1:22" x14ac:dyDescent="0.25">
      <c r="E26" s="73"/>
    </row>
    <row r="27" spans="1:22" x14ac:dyDescent="0.25">
      <c r="E27" s="73"/>
    </row>
    <row r="28" spans="1:22" x14ac:dyDescent="0.25">
      <c r="E28" s="73"/>
    </row>
    <row r="29" spans="1:22" x14ac:dyDescent="0.25">
      <c r="E29" s="73"/>
    </row>
    <row r="30" spans="1:22" x14ac:dyDescent="0.25">
      <c r="E30" s="73"/>
    </row>
    <row r="31" spans="1:22" x14ac:dyDescent="0.25">
      <c r="E31" s="73"/>
    </row>
    <row r="32" spans="1:22" x14ac:dyDescent="0.25">
      <c r="E32" s="73"/>
    </row>
    <row r="33" spans="5:5" x14ac:dyDescent="0.25">
      <c r="E33" s="73"/>
    </row>
    <row r="34" spans="5:5" x14ac:dyDescent="0.25">
      <c r="E34" s="73"/>
    </row>
    <row r="35" spans="5:5" x14ac:dyDescent="0.25">
      <c r="E35" s="73"/>
    </row>
    <row r="36" spans="5:5" x14ac:dyDescent="0.25">
      <c r="E36" s="73"/>
    </row>
    <row r="37" spans="5:5" x14ac:dyDescent="0.25">
      <c r="E37" s="73"/>
    </row>
    <row r="38" spans="5:5" x14ac:dyDescent="0.25">
      <c r="E38" s="73"/>
    </row>
    <row r="39" spans="5:5" x14ac:dyDescent="0.25">
      <c r="E39" s="73"/>
    </row>
    <row r="40" spans="5:5" x14ac:dyDescent="0.25">
      <c r="E40" s="73"/>
    </row>
    <row r="41" spans="5:5" x14ac:dyDescent="0.25">
      <c r="E41" s="73"/>
    </row>
    <row r="42" spans="5:5" x14ac:dyDescent="0.25">
      <c r="E42" s="73"/>
    </row>
  </sheetData>
  <pageMargins left="0.7" right="0.7" top="0.75" bottom="0.75" header="0.3" footer="0.3"/>
  <pageSetup orientation="portrait" r:id="rId1"/>
  <customProperties>
    <customPr name="%locator_row%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7</xdr:row>
                    <xdr:rowOff>152400</xdr:rowOff>
                  </from>
                  <to>
                    <xdr:col>0</xdr:col>
                    <xdr:colOff>904875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J55"/>
  <sheetViews>
    <sheetView zoomScaleNormal="100" workbookViewId="0"/>
  </sheetViews>
  <sheetFormatPr defaultRowHeight="15" x14ac:dyDescent="0.2"/>
  <cols>
    <col min="1" max="1" width="33.140625" style="23" customWidth="1"/>
    <col min="2" max="2" width="15.85546875" style="23" customWidth="1"/>
    <col min="3" max="3" width="21.28515625" style="23" customWidth="1"/>
    <col min="4" max="4" width="33.140625" style="23" customWidth="1"/>
    <col min="5" max="5" width="9" style="23" customWidth="1"/>
    <col min="6" max="6" width="7.5703125" style="23" customWidth="1"/>
    <col min="7" max="7" width="5.42578125" style="23" customWidth="1"/>
    <col min="8" max="8" width="6.28515625" style="23" customWidth="1"/>
    <col min="9" max="9" width="8.42578125" style="23" customWidth="1"/>
    <col min="10" max="10" width="8.140625" style="23" customWidth="1"/>
    <col min="11" max="16384" width="9.140625" style="23"/>
  </cols>
  <sheetData>
    <row r="1" spans="1:10" ht="16.5" customHeight="1" x14ac:dyDescent="0.2">
      <c r="A1" s="20"/>
      <c r="B1" s="21"/>
      <c r="C1" s="21"/>
      <c r="D1" s="21"/>
      <c r="E1" s="21"/>
      <c r="F1" s="21"/>
      <c r="G1" s="21"/>
      <c r="H1" s="21"/>
      <c r="I1" s="21"/>
      <c r="J1" s="22"/>
    </row>
    <row r="2" spans="1:10" ht="16.5" customHeight="1" x14ac:dyDescent="0.2">
      <c r="A2" s="24"/>
      <c r="B2" s="25"/>
      <c r="C2" s="25"/>
      <c r="D2" s="25"/>
      <c r="E2" s="25"/>
      <c r="F2" s="25"/>
      <c r="G2" s="25"/>
      <c r="H2" s="25"/>
      <c r="I2" s="25"/>
      <c r="J2" s="26"/>
    </row>
    <row r="3" spans="1:10" ht="15" customHeight="1" x14ac:dyDescent="0.2">
      <c r="A3" s="152" t="s">
        <v>45</v>
      </c>
      <c r="B3" s="153"/>
      <c r="C3" s="153"/>
      <c r="D3" s="153"/>
      <c r="E3" s="25"/>
      <c r="F3" s="25"/>
      <c r="G3" s="25"/>
      <c r="H3" s="25"/>
      <c r="I3" s="25"/>
      <c r="J3" s="26"/>
    </row>
    <row r="4" spans="1:10" ht="34.5" customHeight="1" thickBot="1" x14ac:dyDescent="0.25">
      <c r="A4" s="27"/>
      <c r="B4" s="28"/>
      <c r="C4" s="28"/>
      <c r="D4" s="28"/>
      <c r="E4" s="28"/>
      <c r="F4" s="28"/>
      <c r="G4" s="28"/>
      <c r="H4" s="28"/>
      <c r="I4" s="28"/>
      <c r="J4" s="29"/>
    </row>
    <row r="5" spans="1:10" ht="15.75" thickBot="1" x14ac:dyDescent="0.25">
      <c r="A5" s="100" t="s">
        <v>46</v>
      </c>
      <c r="B5" s="101"/>
      <c r="C5" s="101"/>
      <c r="D5" s="101"/>
      <c r="E5" s="101"/>
      <c r="F5" s="101"/>
      <c r="G5" s="101"/>
      <c r="H5" s="101"/>
      <c r="I5" s="101"/>
      <c r="J5" s="102"/>
    </row>
    <row r="6" spans="1:10" x14ac:dyDescent="0.2">
      <c r="A6" s="30"/>
      <c r="B6" s="31"/>
      <c r="C6" s="31"/>
      <c r="D6" s="31"/>
      <c r="E6" s="31"/>
      <c r="F6" s="31"/>
      <c r="G6" s="31"/>
      <c r="H6" s="31"/>
      <c r="I6" s="31"/>
      <c r="J6" s="32"/>
    </row>
    <row r="7" spans="1:10" ht="21" customHeight="1" x14ac:dyDescent="0.2">
      <c r="A7" s="33"/>
      <c r="B7" s="154"/>
      <c r="C7" s="154"/>
      <c r="D7" s="155"/>
      <c r="E7" s="34" t="s">
        <v>194</v>
      </c>
      <c r="F7" s="156" t="str">
        <f>'PAYMENT FORM DB'!A2</f>
        <v>ONMKTG/2019-20/38</v>
      </c>
      <c r="G7" s="157"/>
      <c r="H7" s="157"/>
      <c r="I7" s="157"/>
      <c r="J7" s="158"/>
    </row>
    <row r="8" spans="1:10" ht="21" customHeight="1" x14ac:dyDescent="0.2">
      <c r="A8" s="33" t="s">
        <v>47</v>
      </c>
      <c r="B8" s="154" t="str">
        <f>'PAYMENT FORM DB'!D2</f>
        <v>UTIPL</v>
      </c>
      <c r="C8" s="154"/>
      <c r="D8" s="155"/>
      <c r="E8" s="34" t="s">
        <v>48</v>
      </c>
      <c r="F8" s="156" t="str">
        <f>TEXT('PAYMENT FORM DB'!C2,"dd-mmm-yyyy")</f>
        <v>19-Sep-2019</v>
      </c>
      <c r="G8" s="157"/>
      <c r="H8" s="157"/>
      <c r="I8" s="157"/>
      <c r="J8" s="158"/>
    </row>
    <row r="9" spans="1:10" x14ac:dyDescent="0.2">
      <c r="A9" s="35"/>
      <c r="B9" s="36"/>
      <c r="C9" s="36"/>
      <c r="D9" s="37"/>
      <c r="E9" s="38"/>
      <c r="F9" s="38"/>
      <c r="G9" s="38"/>
      <c r="H9" s="38"/>
      <c r="I9" s="38"/>
      <c r="J9" s="39"/>
    </row>
    <row r="10" spans="1:10" ht="20.25" customHeight="1" x14ac:dyDescent="0.2">
      <c r="A10" s="33" t="s">
        <v>49</v>
      </c>
      <c r="B10" s="150" t="str">
        <f>'PAYMENT FORM DB'!E2</f>
        <v>URBANTREE</v>
      </c>
      <c r="C10" s="150"/>
      <c r="D10" s="37" t="s">
        <v>2</v>
      </c>
      <c r="E10" s="154" t="str">
        <f>'PAYMENT FORM DB'!B2</f>
        <v>ONLINE MARKETING</v>
      </c>
      <c r="F10" s="154"/>
      <c r="G10" s="154"/>
      <c r="H10" s="154"/>
      <c r="I10" s="154"/>
      <c r="J10" s="159"/>
    </row>
    <row r="11" spans="1:10" ht="15.75" thickBot="1" x14ac:dyDescent="0.25">
      <c r="A11" s="40"/>
      <c r="B11" s="41"/>
      <c r="C11" s="41"/>
      <c r="D11" s="42"/>
      <c r="E11" s="42"/>
      <c r="F11" s="42"/>
      <c r="G11" s="42"/>
      <c r="H11" s="42"/>
      <c r="I11" s="42"/>
      <c r="J11" s="43"/>
    </row>
    <row r="12" spans="1:10" ht="15.75" thickBot="1" x14ac:dyDescent="0.25">
      <c r="A12" s="100" t="s">
        <v>50</v>
      </c>
      <c r="B12" s="101"/>
      <c r="C12" s="101"/>
      <c r="D12" s="101"/>
      <c r="E12" s="101"/>
      <c r="F12" s="101"/>
      <c r="G12" s="101"/>
      <c r="H12" s="101"/>
      <c r="I12" s="101"/>
      <c r="J12" s="102"/>
    </row>
    <row r="13" spans="1:10" x14ac:dyDescent="0.2">
      <c r="A13" s="44"/>
      <c r="B13" s="45"/>
      <c r="C13" s="45"/>
      <c r="D13" s="46"/>
      <c r="E13" s="46"/>
      <c r="F13" s="46"/>
      <c r="G13" s="46"/>
      <c r="H13" s="46"/>
      <c r="I13" s="46"/>
      <c r="J13" s="47"/>
    </row>
    <row r="14" spans="1:10" ht="30" x14ac:dyDescent="0.2">
      <c r="A14" s="48" t="s">
        <v>51</v>
      </c>
      <c r="B14" s="150" t="str">
        <f>'PAYMENT FORM DB'!F2</f>
        <v>Einfach Solutions</v>
      </c>
      <c r="C14" s="150"/>
      <c r="D14" s="150"/>
      <c r="E14" s="150"/>
      <c r="F14" s="150"/>
      <c r="G14" s="150"/>
      <c r="H14" s="150"/>
      <c r="I14" s="150"/>
      <c r="J14" s="151"/>
    </row>
    <row r="15" spans="1:10" x14ac:dyDescent="0.2">
      <c r="A15" s="49"/>
      <c r="B15" s="45"/>
      <c r="C15" s="45"/>
      <c r="D15" s="46"/>
      <c r="E15" s="46"/>
      <c r="F15" s="46"/>
      <c r="G15" s="46"/>
      <c r="H15" s="46"/>
      <c r="I15" s="46"/>
      <c r="J15" s="47"/>
    </row>
    <row r="16" spans="1:10" ht="30" x14ac:dyDescent="0.2">
      <c r="A16" s="48" t="s">
        <v>52</v>
      </c>
      <c r="B16" s="150" t="str">
        <f>IF('PAYMENT FORM DB'!G2="","-",'PAYMENT FORM DB'!G2&amp;" | "&amp;TEXT('PAYMENT FORM DB'!H2,"dd-mmm-yyyy"))</f>
        <v>- | 30-Jul-2019</v>
      </c>
      <c r="C16" s="150"/>
      <c r="D16" s="50" t="s">
        <v>53</v>
      </c>
      <c r="E16" s="150" t="str">
        <f>'PAYMENT FORM DB'!I2&amp;" | "&amp;TEXT('PAYMENT FORM DB'!J2,"dd-mmm-yyyy")</f>
        <v>A15S/19-20/024 | 30-Jul-2019</v>
      </c>
      <c r="F16" s="150"/>
      <c r="G16" s="150"/>
      <c r="H16" s="150"/>
      <c r="I16" s="150"/>
      <c r="J16" s="151"/>
    </row>
    <row r="17" spans="1:10" x14ac:dyDescent="0.2">
      <c r="A17" s="48"/>
      <c r="B17" s="36"/>
      <c r="C17" s="36"/>
      <c r="D17" s="50"/>
      <c r="E17" s="36"/>
      <c r="F17" s="36"/>
      <c r="G17" s="36"/>
      <c r="H17" s="36"/>
      <c r="I17" s="36"/>
      <c r="J17" s="51"/>
    </row>
    <row r="18" spans="1:10" ht="30" x14ac:dyDescent="0.2">
      <c r="A18" s="48" t="s">
        <v>54</v>
      </c>
      <c r="B18" s="150" t="str">
        <f>IF('PAYMENT FORM DB'!K2="","-",'PAYMENT FORM DB'!K2&amp;" | "&amp;TEXT('PAYMENT FORM DB'!L2,"dd-mmm-yyyy"))</f>
        <v>- | 30-Jul-2019</v>
      </c>
      <c r="C18" s="150"/>
      <c r="D18" s="50" t="s">
        <v>55</v>
      </c>
      <c r="E18" s="150" t="str">
        <f>TEXT('PAYMENT FORM DB'!M2,"dd-mmm-yyyy")</f>
        <v>30-Jul-2019</v>
      </c>
      <c r="F18" s="150"/>
      <c r="G18" s="150"/>
      <c r="H18" s="150"/>
      <c r="I18" s="150"/>
      <c r="J18" s="151"/>
    </row>
    <row r="19" spans="1:10" ht="15.75" thickBot="1" x14ac:dyDescent="0.25">
      <c r="A19" s="44"/>
      <c r="B19" s="45"/>
      <c r="C19" s="45"/>
      <c r="D19" s="46"/>
      <c r="E19" s="46"/>
      <c r="F19" s="46"/>
      <c r="G19" s="46"/>
      <c r="H19" s="46"/>
      <c r="I19" s="46"/>
      <c r="J19" s="47"/>
    </row>
    <row r="20" spans="1:10" ht="15.75" thickBot="1" x14ac:dyDescent="0.25">
      <c r="A20" s="52" t="s">
        <v>56</v>
      </c>
      <c r="B20" s="145" t="s">
        <v>57</v>
      </c>
      <c r="C20" s="145"/>
      <c r="D20" s="145" t="s">
        <v>58</v>
      </c>
      <c r="E20" s="145"/>
      <c r="F20" s="145"/>
      <c r="G20" s="145"/>
      <c r="H20" s="145"/>
      <c r="I20" s="145"/>
      <c r="J20" s="146"/>
    </row>
    <row r="21" spans="1:10" ht="31.5" customHeight="1" x14ac:dyDescent="0.2">
      <c r="A21" s="53" t="s">
        <v>59</v>
      </c>
      <c r="B21" s="147">
        <f>'PAYMENT FORM DB'!N2</f>
        <v>0</v>
      </c>
      <c r="C21" s="147"/>
      <c r="D21" s="148" t="str">
        <f>'PAYMENT FORM DB'!O2</f>
        <v>NA</v>
      </c>
      <c r="E21" s="148"/>
      <c r="F21" s="148"/>
      <c r="G21" s="148"/>
      <c r="H21" s="148"/>
      <c r="I21" s="148"/>
      <c r="J21" s="149"/>
    </row>
    <row r="22" spans="1:10" ht="33.75" customHeight="1" x14ac:dyDescent="0.2">
      <c r="A22" s="54" t="s">
        <v>60</v>
      </c>
      <c r="B22" s="143">
        <f>'PAYMENT FORM DB'!P2</f>
        <v>0</v>
      </c>
      <c r="C22" s="144"/>
      <c r="D22" s="141" t="str">
        <f>'PAYMENT FORM DB'!Q2</f>
        <v>NA</v>
      </c>
      <c r="E22" s="141"/>
      <c r="F22" s="141"/>
      <c r="G22" s="141"/>
      <c r="H22" s="141"/>
      <c r="I22" s="141"/>
      <c r="J22" s="142"/>
    </row>
    <row r="23" spans="1:10" ht="27.75" customHeight="1" x14ac:dyDescent="0.2">
      <c r="A23" s="54" t="s">
        <v>61</v>
      </c>
      <c r="B23" s="140" t="str">
        <f>'PAYMENT FORM DB'!R2</f>
        <v>122720</v>
      </c>
      <c r="C23" s="140"/>
      <c r="D23" s="141" t="str">
        <f>'PAYMENT FORM DB'!S2</f>
        <v>NA</v>
      </c>
      <c r="E23" s="141"/>
      <c r="F23" s="141"/>
      <c r="G23" s="141"/>
      <c r="H23" s="141"/>
      <c r="I23" s="141"/>
      <c r="J23" s="142"/>
    </row>
    <row r="24" spans="1:10" ht="30" x14ac:dyDescent="0.2">
      <c r="A24" s="54" t="s">
        <v>212</v>
      </c>
      <c r="B24" s="140">
        <f>'PAYMENT FORM DB'!V2</f>
        <v>0</v>
      </c>
      <c r="C24" s="140"/>
      <c r="D24" s="141" t="str">
        <f>'PAYMENT FORM DB'!W2</f>
        <v>NA</v>
      </c>
      <c r="E24" s="141"/>
      <c r="F24" s="141"/>
      <c r="G24" s="141"/>
      <c r="H24" s="141"/>
      <c r="I24" s="141"/>
      <c r="J24" s="142"/>
    </row>
    <row r="25" spans="1:10" ht="21.75" customHeight="1" x14ac:dyDescent="0.2">
      <c r="A25" s="54" t="s">
        <v>62</v>
      </c>
      <c r="B25" s="140">
        <f>'PAYMENT FORM DB'!X2</f>
        <v>0</v>
      </c>
      <c r="C25" s="140"/>
      <c r="D25" s="141" t="str">
        <f>'PAYMENT FORM DB'!Y2</f>
        <v>NA</v>
      </c>
      <c r="E25" s="141"/>
      <c r="F25" s="141"/>
      <c r="G25" s="141"/>
      <c r="H25" s="141"/>
      <c r="I25" s="141"/>
      <c r="J25" s="142"/>
    </row>
    <row r="26" spans="1:10" ht="28.5" customHeight="1" x14ac:dyDescent="0.2">
      <c r="A26" s="54" t="s">
        <v>63</v>
      </c>
      <c r="B26" s="140">
        <f>'PAYMENT FORM DB'!Z2</f>
        <v>0</v>
      </c>
      <c r="C26" s="140"/>
      <c r="D26" s="141" t="str">
        <f>'PAYMENT FORM DB'!AA2</f>
        <v>NA</v>
      </c>
      <c r="E26" s="141"/>
      <c r="F26" s="141"/>
      <c r="G26" s="141"/>
      <c r="H26" s="141"/>
      <c r="I26" s="141"/>
      <c r="J26" s="142"/>
    </row>
    <row r="27" spans="1:10" ht="28.5" customHeight="1" x14ac:dyDescent="0.2">
      <c r="A27" s="54" t="s">
        <v>64</v>
      </c>
      <c r="B27" s="143">
        <f>'PAYMENT FORM DB'!AB2</f>
        <v>0</v>
      </c>
      <c r="C27" s="144"/>
      <c r="D27" s="141" t="str">
        <f>'PAYMENT FORM DB'!AC2</f>
        <v>NA</v>
      </c>
      <c r="E27" s="141"/>
      <c r="F27" s="141"/>
      <c r="G27" s="141"/>
      <c r="H27" s="141"/>
      <c r="I27" s="141"/>
      <c r="J27" s="142"/>
    </row>
    <row r="28" spans="1:10" ht="28.5" customHeight="1" x14ac:dyDescent="0.2">
      <c r="A28" s="54" t="s">
        <v>213</v>
      </c>
      <c r="B28" s="140" t="str">
        <f>'PAYMENT FORM DB'!T2</f>
        <v>2080</v>
      </c>
      <c r="C28" s="140"/>
      <c r="D28" s="137" t="str">
        <f>'PAYMENT FORM DB'!U2</f>
        <v>NA</v>
      </c>
      <c r="E28" s="138"/>
      <c r="F28" s="138"/>
      <c r="G28" s="138"/>
      <c r="H28" s="138"/>
      <c r="I28" s="138"/>
      <c r="J28" s="139"/>
    </row>
    <row r="29" spans="1:10" ht="33" customHeight="1" thickBot="1" x14ac:dyDescent="0.25">
      <c r="A29" s="55" t="s">
        <v>65</v>
      </c>
      <c r="B29" s="130" t="str">
        <f>'PAYMENT FORM DB'!AD2</f>
        <v>120640</v>
      </c>
      <c r="C29" s="130"/>
      <c r="D29" s="131" t="str">
        <f>'PAYMENT FORM DB'!AE2</f>
        <v>NA</v>
      </c>
      <c r="E29" s="131"/>
      <c r="F29" s="131"/>
      <c r="G29" s="131"/>
      <c r="H29" s="131"/>
      <c r="I29" s="131"/>
      <c r="J29" s="132"/>
    </row>
    <row r="30" spans="1:10" x14ac:dyDescent="0.2">
      <c r="A30" s="56"/>
      <c r="B30" s="57"/>
      <c r="C30" s="57"/>
      <c r="D30" s="58"/>
      <c r="E30" s="58"/>
      <c r="F30" s="58"/>
      <c r="G30" s="58"/>
      <c r="H30" s="58"/>
      <c r="I30" s="58"/>
      <c r="J30" s="59"/>
    </row>
    <row r="31" spans="1:10" ht="33.75" customHeight="1" x14ac:dyDescent="0.2">
      <c r="A31" s="133" t="s">
        <v>66</v>
      </c>
      <c r="B31" s="134" t="s">
        <v>67</v>
      </c>
      <c r="C31" s="134"/>
      <c r="D31" s="60" t="s">
        <v>68</v>
      </c>
      <c r="E31" s="98" t="s">
        <v>69</v>
      </c>
      <c r="F31" s="98"/>
      <c r="G31" s="98"/>
      <c r="H31" s="98"/>
      <c r="I31" s="46"/>
      <c r="J31" s="47"/>
    </row>
    <row r="32" spans="1:10" ht="26.25" customHeight="1" x14ac:dyDescent="0.2">
      <c r="A32" s="133"/>
      <c r="B32" s="50"/>
      <c r="C32" s="45"/>
      <c r="D32" s="46"/>
      <c r="E32" s="61"/>
      <c r="F32" s="61"/>
      <c r="G32" s="61"/>
      <c r="H32" s="61"/>
      <c r="I32" s="46"/>
      <c r="J32" s="47"/>
    </row>
    <row r="33" spans="1:10" ht="28.5" customHeight="1" x14ac:dyDescent="0.2">
      <c r="A33" s="133"/>
      <c r="B33" s="60" t="s">
        <v>70</v>
      </c>
      <c r="C33" s="45"/>
      <c r="D33" s="60" t="s">
        <v>71</v>
      </c>
      <c r="E33" s="98" t="s">
        <v>72</v>
      </c>
      <c r="F33" s="98"/>
      <c r="G33" s="98"/>
      <c r="H33" s="98"/>
      <c r="I33" s="46"/>
      <c r="J33" s="47"/>
    </row>
    <row r="34" spans="1:10" ht="28.5" customHeight="1" x14ac:dyDescent="0.2">
      <c r="A34" s="133"/>
      <c r="B34" s="50"/>
      <c r="C34" s="45"/>
      <c r="D34" s="46"/>
      <c r="E34" s="46"/>
      <c r="F34" s="46"/>
      <c r="G34" s="46"/>
      <c r="H34" s="46"/>
      <c r="I34" s="46"/>
      <c r="J34" s="47"/>
    </row>
    <row r="35" spans="1:10" ht="30" customHeight="1" x14ac:dyDescent="0.2">
      <c r="A35" s="133"/>
      <c r="B35" s="98" t="s">
        <v>73</v>
      </c>
      <c r="C35" s="98"/>
      <c r="D35" s="61" t="s">
        <v>74</v>
      </c>
      <c r="E35" s="135">
        <f>'PAYMENT FORM DB'!AM2</f>
        <v>0</v>
      </c>
      <c r="F35" s="135"/>
      <c r="G35" s="135"/>
      <c r="H35" s="135"/>
      <c r="I35" s="135"/>
      <c r="J35" s="136"/>
    </row>
    <row r="36" spans="1:10" ht="15.75" thickBot="1" x14ac:dyDescent="0.25">
      <c r="A36" s="62"/>
      <c r="B36" s="63"/>
      <c r="C36" s="63"/>
      <c r="D36" s="64"/>
      <c r="E36" s="64"/>
      <c r="F36" s="64"/>
      <c r="G36" s="64"/>
      <c r="H36" s="64"/>
      <c r="I36" s="64"/>
      <c r="J36" s="65"/>
    </row>
    <row r="37" spans="1:10" ht="15.75" thickBot="1" x14ac:dyDescent="0.25">
      <c r="A37" s="100" t="s">
        <v>75</v>
      </c>
      <c r="B37" s="101"/>
      <c r="C37" s="101"/>
      <c r="D37" s="101"/>
      <c r="E37" s="101"/>
      <c r="F37" s="101"/>
      <c r="G37" s="101"/>
      <c r="H37" s="101"/>
      <c r="I37" s="101"/>
      <c r="J37" s="102"/>
    </row>
    <row r="38" spans="1:10" x14ac:dyDescent="0.2">
      <c r="A38" s="44"/>
      <c r="B38" s="45"/>
      <c r="C38" s="45"/>
      <c r="D38" s="46"/>
      <c r="E38" s="46"/>
      <c r="F38" s="46"/>
      <c r="G38" s="46"/>
      <c r="H38" s="46"/>
      <c r="I38" s="46"/>
      <c r="J38" s="47"/>
    </row>
    <row r="39" spans="1:10" x14ac:dyDescent="0.2">
      <c r="A39" s="66" t="s">
        <v>76</v>
      </c>
      <c r="B39" s="103" t="s">
        <v>77</v>
      </c>
      <c r="C39" s="104"/>
      <c r="D39" s="67" t="s">
        <v>78</v>
      </c>
      <c r="E39" s="105" t="s">
        <v>79</v>
      </c>
      <c r="F39" s="106"/>
      <c r="G39" s="106"/>
      <c r="H39" s="106"/>
      <c r="I39" s="106"/>
      <c r="J39" s="107"/>
    </row>
    <row r="40" spans="1:10" x14ac:dyDescent="0.2">
      <c r="A40" s="108"/>
      <c r="B40" s="110"/>
      <c r="C40" s="111"/>
      <c r="D40" s="114"/>
      <c r="E40" s="116"/>
      <c r="F40" s="117"/>
      <c r="G40" s="117"/>
      <c r="H40" s="117"/>
      <c r="I40" s="117"/>
      <c r="J40" s="118"/>
    </row>
    <row r="41" spans="1:10" ht="18.75" customHeight="1" x14ac:dyDescent="0.2">
      <c r="A41" s="108"/>
      <c r="B41" s="110"/>
      <c r="C41" s="111"/>
      <c r="D41" s="114"/>
      <c r="E41" s="116"/>
      <c r="F41" s="117"/>
      <c r="G41" s="117"/>
      <c r="H41" s="117"/>
      <c r="I41" s="117"/>
      <c r="J41" s="118"/>
    </row>
    <row r="42" spans="1:10" x14ac:dyDescent="0.2">
      <c r="A42" s="108"/>
      <c r="B42" s="110"/>
      <c r="C42" s="111"/>
      <c r="D42" s="114"/>
      <c r="E42" s="116"/>
      <c r="F42" s="117"/>
      <c r="G42" s="117"/>
      <c r="H42" s="117"/>
      <c r="I42" s="117"/>
      <c r="J42" s="118"/>
    </row>
    <row r="43" spans="1:10" x14ac:dyDescent="0.2">
      <c r="A43" s="108"/>
      <c r="B43" s="110"/>
      <c r="C43" s="111"/>
      <c r="D43" s="114"/>
      <c r="E43" s="116"/>
      <c r="F43" s="117"/>
      <c r="G43" s="117"/>
      <c r="H43" s="117"/>
      <c r="I43" s="117"/>
      <c r="J43" s="118"/>
    </row>
    <row r="44" spans="1:10" ht="21.75" customHeight="1" x14ac:dyDescent="0.2">
      <c r="A44" s="109"/>
      <c r="B44" s="112"/>
      <c r="C44" s="113"/>
      <c r="D44" s="115"/>
      <c r="E44" s="119"/>
      <c r="F44" s="120"/>
      <c r="G44" s="120"/>
      <c r="H44" s="120"/>
      <c r="I44" s="120"/>
      <c r="J44" s="121"/>
    </row>
    <row r="45" spans="1:10" ht="35.25" customHeight="1" x14ac:dyDescent="0.2">
      <c r="A45" s="68" t="s">
        <v>80</v>
      </c>
      <c r="B45" s="122" t="s">
        <v>81</v>
      </c>
      <c r="C45" s="123"/>
      <c r="D45" s="69" t="s">
        <v>82</v>
      </c>
      <c r="E45" s="124" t="s">
        <v>83</v>
      </c>
      <c r="F45" s="125"/>
      <c r="G45" s="125"/>
      <c r="H45" s="125"/>
      <c r="I45" s="125"/>
      <c r="J45" s="126"/>
    </row>
    <row r="46" spans="1:10" ht="15.75" thickBot="1" x14ac:dyDescent="0.25">
      <c r="A46" s="48"/>
      <c r="B46" s="45"/>
      <c r="C46" s="45"/>
      <c r="D46" s="46"/>
      <c r="E46" s="46"/>
      <c r="F46" s="46"/>
      <c r="G46" s="46"/>
      <c r="H46" s="46"/>
      <c r="I46" s="46"/>
      <c r="J46" s="47"/>
    </row>
    <row r="47" spans="1:10" ht="15.75" thickBot="1" x14ac:dyDescent="0.25">
      <c r="A47" s="127" t="s">
        <v>84</v>
      </c>
      <c r="B47" s="128"/>
      <c r="C47" s="128"/>
      <c r="D47" s="128"/>
      <c r="E47" s="128"/>
      <c r="F47" s="128"/>
      <c r="G47" s="128"/>
      <c r="H47" s="128"/>
      <c r="I47" s="128"/>
      <c r="J47" s="129"/>
    </row>
    <row r="48" spans="1:10" x14ac:dyDescent="0.2">
      <c r="A48" s="44"/>
      <c r="B48" s="45"/>
      <c r="C48" s="45"/>
      <c r="D48" s="46"/>
      <c r="E48" s="46"/>
      <c r="F48" s="46"/>
      <c r="G48" s="46"/>
      <c r="H48" s="46"/>
      <c r="I48" s="46"/>
      <c r="J48" s="47"/>
    </row>
    <row r="49" spans="1:10" ht="15.75" customHeight="1" x14ac:dyDescent="0.2">
      <c r="A49" s="48" t="s">
        <v>85</v>
      </c>
      <c r="B49" s="45"/>
      <c r="C49" s="50" t="s">
        <v>86</v>
      </c>
      <c r="D49" s="46"/>
      <c r="E49" s="98" t="s">
        <v>87</v>
      </c>
      <c r="F49" s="98"/>
      <c r="G49" s="98"/>
      <c r="H49" s="98"/>
      <c r="I49" s="98"/>
      <c r="J49" s="99"/>
    </row>
    <row r="50" spans="1:10" ht="19.5" customHeight="1" x14ac:dyDescent="0.2">
      <c r="A50" s="48"/>
      <c r="B50" s="45"/>
      <c r="C50" s="50"/>
      <c r="D50" s="46"/>
      <c r="E50" s="50"/>
      <c r="F50" s="50"/>
      <c r="G50" s="50"/>
      <c r="H50" s="50"/>
      <c r="I50" s="50"/>
      <c r="J50" s="70"/>
    </row>
    <row r="51" spans="1:10" ht="22.5" customHeight="1" x14ac:dyDescent="0.2">
      <c r="A51" s="48" t="s">
        <v>88</v>
      </c>
      <c r="B51" s="45"/>
      <c r="C51" s="50" t="s">
        <v>78</v>
      </c>
      <c r="D51" s="46"/>
      <c r="E51" s="98" t="s">
        <v>89</v>
      </c>
      <c r="F51" s="98"/>
      <c r="G51" s="98"/>
      <c r="H51" s="98"/>
      <c r="I51" s="98"/>
      <c r="J51" s="99"/>
    </row>
    <row r="52" spans="1:10" ht="15.75" customHeight="1" x14ac:dyDescent="0.2">
      <c r="A52" s="44"/>
      <c r="B52" s="45"/>
      <c r="C52" s="45"/>
      <c r="D52" s="46"/>
      <c r="E52" s="50"/>
      <c r="F52" s="50"/>
      <c r="G52" s="50"/>
      <c r="H52" s="50"/>
      <c r="I52" s="50"/>
      <c r="J52" s="70"/>
    </row>
    <row r="53" spans="1:10" ht="21" customHeight="1" x14ac:dyDescent="0.2">
      <c r="A53" s="48"/>
      <c r="B53" s="45"/>
      <c r="C53" s="50" t="s">
        <v>90</v>
      </c>
      <c r="D53" s="46"/>
      <c r="E53" s="98" t="s">
        <v>91</v>
      </c>
      <c r="F53" s="98"/>
      <c r="G53" s="98"/>
      <c r="H53" s="98"/>
      <c r="I53" s="98"/>
      <c r="J53" s="99"/>
    </row>
    <row r="54" spans="1:10" x14ac:dyDescent="0.2">
      <c r="A54" s="44"/>
      <c r="B54" s="45"/>
      <c r="C54" s="45"/>
      <c r="D54" s="46"/>
      <c r="E54" s="46"/>
      <c r="F54" s="46"/>
      <c r="G54" s="46"/>
      <c r="H54" s="46"/>
      <c r="I54" s="46"/>
      <c r="J54" s="47"/>
    </row>
    <row r="55" spans="1:10" ht="15.75" thickBot="1" x14ac:dyDescent="0.25">
      <c r="A55" s="62"/>
      <c r="B55" s="63"/>
      <c r="C55" s="63"/>
      <c r="D55" s="64"/>
      <c r="E55" s="64"/>
      <c r="F55" s="64"/>
      <c r="G55" s="64"/>
      <c r="H55" s="64"/>
      <c r="I55" s="64"/>
      <c r="J55" s="65"/>
    </row>
  </sheetData>
  <mergeCells count="53">
    <mergeCell ref="A3:D3"/>
    <mergeCell ref="A5:J5"/>
    <mergeCell ref="B8:D8"/>
    <mergeCell ref="F8:J8"/>
    <mergeCell ref="B10:C10"/>
    <mergeCell ref="E10:J10"/>
    <mergeCell ref="F7:J7"/>
    <mergeCell ref="B7:D7"/>
    <mergeCell ref="A12:J12"/>
    <mergeCell ref="B14:J14"/>
    <mergeCell ref="B16:C16"/>
    <mergeCell ref="E16:J16"/>
    <mergeCell ref="B18:C18"/>
    <mergeCell ref="E18:J18"/>
    <mergeCell ref="B20:C20"/>
    <mergeCell ref="D20:J20"/>
    <mergeCell ref="B21:C21"/>
    <mergeCell ref="D21:J21"/>
    <mergeCell ref="B22:C22"/>
    <mergeCell ref="D22:J22"/>
    <mergeCell ref="D28:J28"/>
    <mergeCell ref="B23:C23"/>
    <mergeCell ref="D23:J23"/>
    <mergeCell ref="B28:C28"/>
    <mergeCell ref="D24:J24"/>
    <mergeCell ref="B24:C24"/>
    <mergeCell ref="D25:J25"/>
    <mergeCell ref="B25:C25"/>
    <mergeCell ref="D26:J26"/>
    <mergeCell ref="B26:C26"/>
    <mergeCell ref="D27:J27"/>
    <mergeCell ref="B27:C27"/>
    <mergeCell ref="B29:C29"/>
    <mergeCell ref="D29:J29"/>
    <mergeCell ref="A31:A35"/>
    <mergeCell ref="B31:C31"/>
    <mergeCell ref="E31:H31"/>
    <mergeCell ref="E33:H33"/>
    <mergeCell ref="B35:C35"/>
    <mergeCell ref="E35:J35"/>
    <mergeCell ref="E53:J53"/>
    <mergeCell ref="A37:J37"/>
    <mergeCell ref="B39:C39"/>
    <mergeCell ref="E39:J39"/>
    <mergeCell ref="A40:A44"/>
    <mergeCell ref="B40:C44"/>
    <mergeCell ref="D40:D44"/>
    <mergeCell ref="E40:J44"/>
    <mergeCell ref="B45:C45"/>
    <mergeCell ref="E45:J45"/>
    <mergeCell ref="A47:J47"/>
    <mergeCell ref="E49:J49"/>
    <mergeCell ref="E51:J51"/>
  </mergeCells>
  <pageMargins left="0.28000000000000003" right="0.19685039370078741" top="0.7" bottom="0.31496062992125984" header="0.31496062992125984" footer="0.19685039370078741"/>
  <pageSetup paperSize="9" scale="6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22">
              <controlPr defaultSize="0" autoFill="0" autoLine="0" autoPict="0">
                <anchor moveWithCells="1">
                  <from>
                    <xdr:col>2</xdr:col>
                    <xdr:colOff>981075</xdr:colOff>
                    <xdr:row>30</xdr:row>
                    <xdr:rowOff>171450</xdr:rowOff>
                  </from>
                  <to>
                    <xdr:col>2</xdr:col>
                    <xdr:colOff>1333500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3">
              <controlPr defaultSize="0" autoFill="0" autoLine="0" autoPict="0">
                <anchor moveWithCells="1">
                  <from>
                    <xdr:col>2</xdr:col>
                    <xdr:colOff>981075</xdr:colOff>
                    <xdr:row>32</xdr:row>
                    <xdr:rowOff>95250</xdr:rowOff>
                  </from>
                  <to>
                    <xdr:col>2</xdr:col>
                    <xdr:colOff>1333500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24">
              <controlPr defaultSize="0" autoFill="0" autoLine="0" autoPict="0">
                <anchor moveWithCells="1">
                  <from>
                    <xdr:col>2</xdr:col>
                    <xdr:colOff>981075</xdr:colOff>
                    <xdr:row>34</xdr:row>
                    <xdr:rowOff>57150</xdr:rowOff>
                  </from>
                  <to>
                    <xdr:col>2</xdr:col>
                    <xdr:colOff>1333500</xdr:colOff>
                    <xdr:row>34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25">
              <controlPr defaultSize="0" autoFill="0" autoLine="0" autoPict="0">
                <anchor moveWithCells="1">
                  <from>
                    <xdr:col>3</xdr:col>
                    <xdr:colOff>1876425</xdr:colOff>
                    <xdr:row>30</xdr:row>
                    <xdr:rowOff>171450</xdr:rowOff>
                  </from>
                  <to>
                    <xdr:col>4</xdr:col>
                    <xdr:colOff>19050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26">
              <controlPr defaultSize="0" autoFill="0" autoLine="0" autoPict="0">
                <anchor moveWithCells="1">
                  <from>
                    <xdr:col>3</xdr:col>
                    <xdr:colOff>1866900</xdr:colOff>
                    <xdr:row>32</xdr:row>
                    <xdr:rowOff>114300</xdr:rowOff>
                  </from>
                  <to>
                    <xdr:col>4</xdr:col>
                    <xdr:colOff>9525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27">
              <controlPr defaultSize="0" autoFill="0" autoLine="0" autoPict="0">
                <anchor moveWithCells="1">
                  <from>
                    <xdr:col>8</xdr:col>
                    <xdr:colOff>285750</xdr:colOff>
                    <xdr:row>30</xdr:row>
                    <xdr:rowOff>180975</xdr:rowOff>
                  </from>
                  <to>
                    <xdr:col>9</xdr:col>
                    <xdr:colOff>76200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28">
              <controlPr defaultSize="0" autoFill="0" autoLine="0" autoPict="0">
                <anchor moveWithCells="1">
                  <from>
                    <xdr:col>8</xdr:col>
                    <xdr:colOff>276225</xdr:colOff>
                    <xdr:row>32</xdr:row>
                    <xdr:rowOff>123825</xdr:rowOff>
                  </from>
                  <to>
                    <xdr:col>9</xdr:col>
                    <xdr:colOff>66675</xdr:colOff>
                    <xdr:row>33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M63"/>
  <sheetViews>
    <sheetView tabSelected="1" workbookViewId="0"/>
  </sheetViews>
  <sheetFormatPr defaultRowHeight="15" x14ac:dyDescent="0.25"/>
  <cols>
    <col min="1" max="1" width="18.7109375" bestFit="1" customWidth="1"/>
    <col min="2" max="2" width="26" bestFit="1" customWidth="1"/>
    <col min="3" max="3" width="11.28515625" bestFit="1" customWidth="1"/>
    <col min="4" max="4" width="10.140625" bestFit="1" customWidth="1"/>
    <col min="5" max="5" width="14.5703125" bestFit="1" customWidth="1"/>
    <col min="6" max="6" width="31" bestFit="1" customWidth="1"/>
    <col min="7" max="7" width="23.140625" bestFit="1" customWidth="1"/>
    <col min="8" max="8" width="12.7109375" bestFit="1" customWidth="1"/>
    <col min="9" max="9" width="34.5703125" bestFit="1" customWidth="1"/>
    <col min="10" max="10" width="31.140625" bestFit="1" customWidth="1"/>
    <col min="11" max="11" width="29.85546875" bestFit="1" customWidth="1"/>
    <col min="12" max="12" width="24.42578125" bestFit="1" customWidth="1"/>
    <col min="13" max="13" width="18.85546875" bestFit="1" customWidth="1"/>
    <col min="14" max="14" width="27.28515625" bestFit="1" customWidth="1"/>
    <col min="15" max="15" width="31.28515625" bestFit="1" customWidth="1"/>
    <col min="16" max="16" width="50" bestFit="1" customWidth="1"/>
    <col min="17" max="17" width="54" bestFit="1" customWidth="1"/>
    <col min="18" max="18" width="32.7109375" bestFit="1" customWidth="1"/>
    <col min="19" max="19" width="36.7109375" bestFit="1" customWidth="1"/>
    <col min="20" max="20" width="32" bestFit="1" customWidth="1"/>
    <col min="21" max="21" width="36" bestFit="1" customWidth="1"/>
    <col min="22" max="22" width="25.5703125" bestFit="1" customWidth="1"/>
    <col min="23" max="23" width="29.42578125" bestFit="1" customWidth="1"/>
    <col min="24" max="24" width="34.7109375" bestFit="1" customWidth="1"/>
    <col min="25" max="25" width="38.7109375" bestFit="1" customWidth="1"/>
    <col min="26" max="26" width="35.28515625" bestFit="1" customWidth="1"/>
    <col min="27" max="27" width="39.28515625" bestFit="1" customWidth="1"/>
    <col min="28" max="28" width="34.140625" bestFit="1" customWidth="1"/>
    <col min="29" max="29" width="38.140625" bestFit="1" customWidth="1"/>
    <col min="30" max="30" width="26" bestFit="1" customWidth="1"/>
    <col min="31" max="31" width="30" bestFit="1" customWidth="1"/>
  </cols>
  <sheetData>
    <row r="1" spans="1:39" x14ac:dyDescent="0.25">
      <c r="A1" t="s">
        <v>25</v>
      </c>
      <c r="B1" t="s">
        <v>26</v>
      </c>
      <c r="C1" t="s">
        <v>96</v>
      </c>
      <c r="D1" t="s">
        <v>92</v>
      </c>
      <c r="E1" t="s">
        <v>93</v>
      </c>
      <c r="F1" t="s">
        <v>94</v>
      </c>
      <c r="G1" t="s">
        <v>120</v>
      </c>
      <c r="H1" t="s">
        <v>115</v>
      </c>
      <c r="I1" t="s">
        <v>119</v>
      </c>
      <c r="J1" t="s">
        <v>116</v>
      </c>
      <c r="K1" t="s">
        <v>117</v>
      </c>
      <c r="L1" t="s">
        <v>118</v>
      </c>
      <c r="M1" t="s">
        <v>95</v>
      </c>
      <c r="N1" t="s">
        <v>97</v>
      </c>
      <c r="O1" t="s">
        <v>98</v>
      </c>
      <c r="P1" t="s">
        <v>99</v>
      </c>
      <c r="Q1" t="s">
        <v>100</v>
      </c>
      <c r="R1" t="s">
        <v>101</v>
      </c>
      <c r="S1" t="s">
        <v>102</v>
      </c>
      <c r="T1" t="s">
        <v>103</v>
      </c>
      <c r="U1" t="s">
        <v>104</v>
      </c>
      <c r="V1" t="s">
        <v>105</v>
      </c>
      <c r="W1" t="s">
        <v>106</v>
      </c>
      <c r="X1" t="s">
        <v>107</v>
      </c>
      <c r="Y1" t="s">
        <v>108</v>
      </c>
      <c r="Z1" t="s">
        <v>109</v>
      </c>
      <c r="AA1" t="s">
        <v>110</v>
      </c>
      <c r="AB1" t="s">
        <v>111</v>
      </c>
      <c r="AC1" t="s">
        <v>112</v>
      </c>
      <c r="AD1" t="s">
        <v>113</v>
      </c>
      <c r="AE1" t="s">
        <v>114</v>
      </c>
      <c r="AF1" t="s">
        <v>164</v>
      </c>
      <c r="AG1" t="s">
        <v>165</v>
      </c>
      <c r="AH1" t="s">
        <v>166</v>
      </c>
      <c r="AI1" t="s">
        <v>167</v>
      </c>
      <c r="AJ1" t="s">
        <v>168</v>
      </c>
      <c r="AK1" t="s">
        <v>169</v>
      </c>
      <c r="AL1" t="s">
        <v>170</v>
      </c>
      <c r="AM1" t="s">
        <v>171</v>
      </c>
    </row>
    <row r="2" spans="1:39" s="80" customFormat="1" x14ac:dyDescent="0.25">
      <c r="A2" s="80" t="s">
        <v>511</v>
      </c>
      <c r="B2" s="81" t="s">
        <v>182</v>
      </c>
      <c r="C2" s="82">
        <v>43727</v>
      </c>
      <c r="D2" s="80" t="s">
        <v>226</v>
      </c>
      <c r="E2" s="80" t="s">
        <v>242</v>
      </c>
      <c r="F2" s="80" t="s">
        <v>348</v>
      </c>
      <c r="G2" s="80" t="s">
        <v>214</v>
      </c>
      <c r="H2" s="82">
        <v>43676</v>
      </c>
      <c r="I2" s="85" t="s">
        <v>512</v>
      </c>
      <c r="J2" s="82">
        <v>43676</v>
      </c>
      <c r="K2" s="80" t="s">
        <v>214</v>
      </c>
      <c r="L2" s="82">
        <v>43676</v>
      </c>
      <c r="M2" s="82">
        <v>43676</v>
      </c>
      <c r="N2" s="80">
        <v>0</v>
      </c>
      <c r="O2" s="83" t="s">
        <v>215</v>
      </c>
      <c r="P2" s="80">
        <v>0</v>
      </c>
      <c r="Q2" s="83" t="s">
        <v>215</v>
      </c>
      <c r="R2" s="80" t="s">
        <v>514</v>
      </c>
      <c r="S2" s="83" t="s">
        <v>215</v>
      </c>
      <c r="T2" s="80" t="s">
        <v>515</v>
      </c>
      <c r="U2" s="83" t="s">
        <v>215</v>
      </c>
      <c r="V2" s="80">
        <v>0</v>
      </c>
      <c r="W2" s="83" t="s">
        <v>215</v>
      </c>
      <c r="X2" s="80">
        <v>0</v>
      </c>
      <c r="Y2" s="83" t="s">
        <v>215</v>
      </c>
      <c r="Z2" s="80">
        <v>0</v>
      </c>
      <c r="AA2" s="83" t="s">
        <v>215</v>
      </c>
      <c r="AB2" s="80">
        <v>0</v>
      </c>
      <c r="AC2" s="83" t="s">
        <v>215</v>
      </c>
      <c r="AD2" s="80" t="s">
        <v>516</v>
      </c>
      <c r="AE2" s="80" t="s">
        <v>215</v>
      </c>
      <c r="AF2" s="80" t="b">
        <v>1</v>
      </c>
      <c r="AG2" s="80" t="b">
        <v>0</v>
      </c>
      <c r="AH2" s="80" t="b">
        <v>0</v>
      </c>
      <c r="AI2" s="80" t="b">
        <v>0</v>
      </c>
      <c r="AJ2" s="80" t="b">
        <v>0</v>
      </c>
      <c r="AK2" s="80" t="b">
        <v>0</v>
      </c>
      <c r="AL2" s="80" t="b">
        <v>0</v>
      </c>
    </row>
    <row r="3" spans="1:39" x14ac:dyDescent="0.25">
      <c r="A3" t="str">
        <f>VLOOKUP(B2,Master!A1:B16,2,0)&amp;"/"&amp;"2019-20"&amp;"/"&amp;COUNTIF($B$11:$B$999928,B2)+1+COUNTIF('Deleted Records'!B:B,B2)</f>
        <v>ONMKTG/2019-20/53</v>
      </c>
    </row>
    <row r="4" spans="1:39" x14ac:dyDescent="0.25">
      <c r="A4" s="79">
        <f>COUNTIF(A2:F2,"")+COUNTIF(I2:J2,"")+COUNTIF(M2:AE2,"")</f>
        <v>0</v>
      </c>
    </row>
    <row r="5" spans="1:39" x14ac:dyDescent="0.25">
      <c r="A5">
        <f>COUNTA(A11:A199928)+11</f>
        <v>64</v>
      </c>
    </row>
    <row r="6" spans="1:39" x14ac:dyDescent="0.25">
      <c r="A6" t="str">
        <f ca="1">"UT" &amp; " " &amp;TEXT(NOW(),"dd-mmm-yyyy hh mm ss am/pm")</f>
        <v>UT 05-Nov-2019 02 22 08 PM</v>
      </c>
      <c r="B6">
        <f>MATCH(A2,A11:A999957,0)+10</f>
        <v>49</v>
      </c>
    </row>
    <row r="7" spans="1:39" x14ac:dyDescent="0.25">
      <c r="B7">
        <f>IFERROR(R2-V2-X2-Z2-AB2-T2,"Numbers only allowed")</f>
        <v>120640</v>
      </c>
      <c r="D7" t="s">
        <v>214</v>
      </c>
      <c r="E7">
        <v>1</v>
      </c>
    </row>
    <row r="11" spans="1:39" s="73" customFormat="1" x14ac:dyDescent="0.25">
      <c r="A11" s="73" t="s">
        <v>25</v>
      </c>
      <c r="B11" s="73" t="s">
        <v>26</v>
      </c>
      <c r="C11" s="73" t="s">
        <v>96</v>
      </c>
      <c r="D11" s="73" t="s">
        <v>92</v>
      </c>
      <c r="E11" s="73" t="s">
        <v>93</v>
      </c>
      <c r="F11" s="73" t="s">
        <v>94</v>
      </c>
      <c r="G11" s="73" t="s">
        <v>120</v>
      </c>
      <c r="H11" s="73" t="s">
        <v>115</v>
      </c>
      <c r="I11" s="73" t="s">
        <v>119</v>
      </c>
      <c r="J11" s="73" t="s">
        <v>116</v>
      </c>
      <c r="K11" s="73" t="s">
        <v>117</v>
      </c>
      <c r="L11" s="73" t="s">
        <v>118</v>
      </c>
      <c r="M11" s="73" t="s">
        <v>95</v>
      </c>
      <c r="N11" s="73" t="s">
        <v>97</v>
      </c>
      <c r="O11" s="73" t="s">
        <v>98</v>
      </c>
      <c r="P11" s="73" t="s">
        <v>99</v>
      </c>
      <c r="Q11" s="73" t="s">
        <v>100</v>
      </c>
      <c r="R11" s="73" t="s">
        <v>101</v>
      </c>
      <c r="S11" s="73" t="s">
        <v>102</v>
      </c>
      <c r="T11" s="73" t="s">
        <v>103</v>
      </c>
      <c r="U11" s="73" t="s">
        <v>104</v>
      </c>
      <c r="V11" s="73" t="s">
        <v>105</v>
      </c>
      <c r="W11" s="73" t="s">
        <v>106</v>
      </c>
      <c r="X11" s="73" t="s">
        <v>107</v>
      </c>
      <c r="Y11" s="73" t="s">
        <v>108</v>
      </c>
      <c r="Z11" s="73" t="s">
        <v>109</v>
      </c>
      <c r="AA11" s="73" t="s">
        <v>110</v>
      </c>
      <c r="AB11" s="73" t="s">
        <v>111</v>
      </c>
      <c r="AC11" s="73" t="s">
        <v>112</v>
      </c>
      <c r="AD11" s="73" t="s">
        <v>113</v>
      </c>
      <c r="AE11" s="73" t="s">
        <v>114</v>
      </c>
      <c r="AF11" s="73" t="s">
        <v>164</v>
      </c>
      <c r="AG11" s="73" t="s">
        <v>165</v>
      </c>
      <c r="AH11" s="73" t="s">
        <v>166</v>
      </c>
      <c r="AI11" s="73" t="s">
        <v>167</v>
      </c>
      <c r="AJ11" s="73" t="s">
        <v>168</v>
      </c>
      <c r="AK11" s="73" t="s">
        <v>169</v>
      </c>
      <c r="AL11" s="73" t="s">
        <v>170</v>
      </c>
      <c r="AM11" s="73" t="s">
        <v>171</v>
      </c>
    </row>
    <row r="12" spans="1:39" s="80" customFormat="1" x14ac:dyDescent="0.25">
      <c r="A12" s="80" t="s">
        <v>217</v>
      </c>
      <c r="B12" s="81" t="s">
        <v>182</v>
      </c>
      <c r="C12" s="82" t="s">
        <v>225</v>
      </c>
      <c r="D12" s="80" t="s">
        <v>226</v>
      </c>
      <c r="E12" s="80" t="s">
        <v>227</v>
      </c>
      <c r="F12" s="80" t="s">
        <v>219</v>
      </c>
      <c r="G12" s="80" t="s">
        <v>216</v>
      </c>
      <c r="H12" s="82" t="s">
        <v>228</v>
      </c>
      <c r="I12" s="80" t="s">
        <v>229</v>
      </c>
      <c r="J12" s="82" t="s">
        <v>228</v>
      </c>
      <c r="K12" s="80" t="s">
        <v>216</v>
      </c>
      <c r="L12" s="82" t="s">
        <v>228</v>
      </c>
      <c r="M12" s="82" t="s">
        <v>230</v>
      </c>
      <c r="N12" s="80" t="s">
        <v>216</v>
      </c>
      <c r="O12" s="80" t="s">
        <v>215</v>
      </c>
      <c r="P12" s="80" t="s">
        <v>216</v>
      </c>
      <c r="Q12" s="80" t="s">
        <v>215</v>
      </c>
      <c r="R12" s="80" t="s">
        <v>231</v>
      </c>
      <c r="S12" s="80" t="s">
        <v>215</v>
      </c>
      <c r="T12" s="80" t="s">
        <v>232</v>
      </c>
      <c r="U12" s="80" t="s">
        <v>215</v>
      </c>
      <c r="V12" s="80" t="s">
        <v>216</v>
      </c>
      <c r="W12" s="80" t="s">
        <v>215</v>
      </c>
      <c r="X12" s="80" t="s">
        <v>216</v>
      </c>
      <c r="Y12" s="80" t="s">
        <v>215</v>
      </c>
      <c r="Z12" s="80" t="s">
        <v>216</v>
      </c>
      <c r="AA12" s="80" t="s">
        <v>215</v>
      </c>
      <c r="AB12" s="80" t="s">
        <v>216</v>
      </c>
      <c r="AC12" s="80" t="s">
        <v>215</v>
      </c>
      <c r="AD12" s="80" t="s">
        <v>233</v>
      </c>
      <c r="AE12" s="80" t="s">
        <v>215</v>
      </c>
      <c r="AF12" s="80" t="b">
        <v>1</v>
      </c>
      <c r="AG12" s="80" t="b">
        <v>0</v>
      </c>
      <c r="AH12" s="80" t="b">
        <v>0</v>
      </c>
      <c r="AI12" s="80" t="b">
        <v>0</v>
      </c>
      <c r="AJ12" s="80" t="b">
        <v>0</v>
      </c>
      <c r="AK12" s="80" t="b">
        <v>0</v>
      </c>
      <c r="AL12" s="80" t="b">
        <v>0</v>
      </c>
    </row>
    <row r="13" spans="1:39" s="80" customFormat="1" x14ac:dyDescent="0.25">
      <c r="A13" s="80" t="s">
        <v>241</v>
      </c>
      <c r="B13" s="81" t="s">
        <v>182</v>
      </c>
      <c r="C13" s="82">
        <v>43595</v>
      </c>
      <c r="D13" s="80" t="s">
        <v>226</v>
      </c>
      <c r="E13" s="80" t="s">
        <v>242</v>
      </c>
      <c r="F13" s="80" t="s">
        <v>235</v>
      </c>
      <c r="G13" s="80">
        <v>0</v>
      </c>
      <c r="H13" s="82">
        <v>43585</v>
      </c>
      <c r="I13" s="80" t="s">
        <v>247</v>
      </c>
      <c r="J13" s="82">
        <v>43585</v>
      </c>
      <c r="K13" s="80">
        <v>0</v>
      </c>
      <c r="L13" s="82">
        <v>43585</v>
      </c>
      <c r="M13" s="82">
        <v>43595</v>
      </c>
      <c r="N13" s="80">
        <v>0</v>
      </c>
      <c r="O13" s="83" t="s">
        <v>215</v>
      </c>
      <c r="P13" s="80">
        <v>0</v>
      </c>
      <c r="Q13" s="83" t="s">
        <v>215</v>
      </c>
      <c r="R13" s="80" t="s">
        <v>243</v>
      </c>
      <c r="S13" s="83" t="s">
        <v>215</v>
      </c>
      <c r="T13" s="80" t="s">
        <v>244</v>
      </c>
      <c r="U13" s="83" t="s">
        <v>215</v>
      </c>
      <c r="V13" s="80">
        <v>0</v>
      </c>
      <c r="W13" s="83" t="s">
        <v>215</v>
      </c>
      <c r="X13" s="80">
        <v>0</v>
      </c>
      <c r="Y13" s="83" t="s">
        <v>215</v>
      </c>
      <c r="Z13" s="80">
        <v>0</v>
      </c>
      <c r="AA13" s="83" t="s">
        <v>215</v>
      </c>
      <c r="AB13" s="80">
        <v>0</v>
      </c>
      <c r="AC13" s="83" t="s">
        <v>215</v>
      </c>
      <c r="AD13" s="80" t="s">
        <v>245</v>
      </c>
      <c r="AE13" s="80" t="s">
        <v>215</v>
      </c>
      <c r="AF13" s="80" t="b">
        <v>1</v>
      </c>
      <c r="AG13" s="80" t="b">
        <v>0</v>
      </c>
      <c r="AH13" s="80" t="b">
        <v>0</v>
      </c>
      <c r="AI13" s="80" t="b">
        <v>0</v>
      </c>
      <c r="AJ13" s="80" t="b">
        <v>0</v>
      </c>
      <c r="AK13" s="80" t="b">
        <v>0</v>
      </c>
      <c r="AL13" s="80" t="b">
        <v>0</v>
      </c>
    </row>
    <row r="14" spans="1:39" s="80" customFormat="1" x14ac:dyDescent="0.25">
      <c r="A14" s="80" t="s">
        <v>246</v>
      </c>
      <c r="B14" s="80" t="s">
        <v>182</v>
      </c>
      <c r="C14" s="80" t="s">
        <v>225</v>
      </c>
      <c r="D14" s="80" t="s">
        <v>226</v>
      </c>
      <c r="E14" s="80" t="s">
        <v>242</v>
      </c>
      <c r="F14" s="80" t="s">
        <v>249</v>
      </c>
      <c r="G14" s="80" t="s">
        <v>216</v>
      </c>
      <c r="H14" s="80" t="s">
        <v>255</v>
      </c>
      <c r="I14" s="80" t="s">
        <v>256</v>
      </c>
      <c r="J14" s="80" t="s">
        <v>255</v>
      </c>
      <c r="K14" s="80" t="s">
        <v>216</v>
      </c>
      <c r="L14" s="80" t="s">
        <v>255</v>
      </c>
      <c r="M14" s="80" t="s">
        <v>257</v>
      </c>
      <c r="N14" s="80" t="s">
        <v>216</v>
      </c>
      <c r="O14" s="80" t="s">
        <v>215</v>
      </c>
      <c r="P14" s="80" t="s">
        <v>216</v>
      </c>
      <c r="Q14" s="80" t="s">
        <v>215</v>
      </c>
      <c r="R14" s="80" t="s">
        <v>258</v>
      </c>
      <c r="S14" s="80" t="s">
        <v>215</v>
      </c>
      <c r="T14" s="80" t="s">
        <v>259</v>
      </c>
      <c r="U14" s="80" t="s">
        <v>215</v>
      </c>
      <c r="V14" s="80" t="s">
        <v>216</v>
      </c>
      <c r="W14" s="80" t="s">
        <v>215</v>
      </c>
      <c r="X14" s="80" t="s">
        <v>216</v>
      </c>
      <c r="Y14" s="80" t="s">
        <v>215</v>
      </c>
      <c r="Z14" s="80" t="s">
        <v>216</v>
      </c>
      <c r="AA14" s="80" t="s">
        <v>215</v>
      </c>
      <c r="AB14" s="80" t="s">
        <v>216</v>
      </c>
      <c r="AC14" s="80" t="s">
        <v>215</v>
      </c>
      <c r="AD14" s="80" t="s">
        <v>260</v>
      </c>
      <c r="AE14" s="80" t="s">
        <v>215</v>
      </c>
      <c r="AF14" s="80" t="b">
        <v>1</v>
      </c>
      <c r="AG14" s="80" t="b">
        <v>0</v>
      </c>
      <c r="AH14" s="80" t="b">
        <v>0</v>
      </c>
      <c r="AI14" s="80" t="b">
        <v>0</v>
      </c>
      <c r="AJ14" s="80" t="b">
        <v>0</v>
      </c>
      <c r="AK14" s="80" t="b">
        <v>0</v>
      </c>
      <c r="AL14" s="80" t="b">
        <v>0</v>
      </c>
    </row>
    <row r="15" spans="1:39" s="80" customFormat="1" x14ac:dyDescent="0.25">
      <c r="A15" s="80" t="s">
        <v>267</v>
      </c>
      <c r="B15" s="80" t="s">
        <v>182</v>
      </c>
      <c r="C15" s="80" t="s">
        <v>225</v>
      </c>
      <c r="D15" s="80" t="s">
        <v>226</v>
      </c>
      <c r="E15" s="80" t="s">
        <v>268</v>
      </c>
      <c r="F15" s="80" t="s">
        <v>262</v>
      </c>
      <c r="G15" s="80" t="s">
        <v>216</v>
      </c>
      <c r="H15" s="80" t="s">
        <v>269</v>
      </c>
      <c r="I15" s="80" t="s">
        <v>270</v>
      </c>
      <c r="J15" s="80" t="s">
        <v>269</v>
      </c>
      <c r="K15" s="80" t="s">
        <v>216</v>
      </c>
      <c r="L15" s="80" t="s">
        <v>269</v>
      </c>
      <c r="M15" s="80" t="s">
        <v>269</v>
      </c>
      <c r="N15" s="80" t="s">
        <v>216</v>
      </c>
      <c r="O15" s="80" t="s">
        <v>215</v>
      </c>
      <c r="P15" s="80" t="s">
        <v>216</v>
      </c>
      <c r="Q15" s="80" t="s">
        <v>215</v>
      </c>
      <c r="R15" s="80" t="s">
        <v>271</v>
      </c>
      <c r="S15" s="80" t="s">
        <v>215</v>
      </c>
      <c r="T15" s="80" t="s">
        <v>272</v>
      </c>
      <c r="U15" s="80" t="s">
        <v>215</v>
      </c>
      <c r="V15" s="80" t="s">
        <v>216</v>
      </c>
      <c r="W15" s="80" t="s">
        <v>215</v>
      </c>
      <c r="X15" s="80" t="s">
        <v>216</v>
      </c>
      <c r="Y15" s="80" t="s">
        <v>215</v>
      </c>
      <c r="Z15" s="80" t="s">
        <v>216</v>
      </c>
      <c r="AA15" s="80" t="s">
        <v>215</v>
      </c>
      <c r="AB15" s="80" t="s">
        <v>216</v>
      </c>
      <c r="AC15" s="80" t="s">
        <v>215</v>
      </c>
      <c r="AD15" s="80" t="s">
        <v>273</v>
      </c>
      <c r="AE15" s="80" t="s">
        <v>215</v>
      </c>
      <c r="AF15" s="80" t="b">
        <v>1</v>
      </c>
      <c r="AG15" s="80" t="b">
        <v>0</v>
      </c>
      <c r="AH15" s="80" t="b">
        <v>0</v>
      </c>
      <c r="AI15" s="80" t="b">
        <v>0</v>
      </c>
      <c r="AJ15" s="80" t="b">
        <v>0</v>
      </c>
      <c r="AK15" s="80" t="b">
        <v>0</v>
      </c>
      <c r="AL15" s="80" t="b">
        <v>0</v>
      </c>
    </row>
    <row r="16" spans="1:39" s="80" customFormat="1" x14ac:dyDescent="0.25">
      <c r="A16" s="80" t="s">
        <v>286</v>
      </c>
      <c r="B16" s="80" t="s">
        <v>182</v>
      </c>
      <c r="C16" s="80" t="s">
        <v>287</v>
      </c>
      <c r="D16" s="80" t="s">
        <v>226</v>
      </c>
      <c r="E16" s="80" t="s">
        <v>288</v>
      </c>
      <c r="F16" s="80" t="s">
        <v>280</v>
      </c>
      <c r="G16" s="80" t="s">
        <v>214</v>
      </c>
      <c r="H16" s="80" t="s">
        <v>293</v>
      </c>
      <c r="I16" s="80" t="s">
        <v>294</v>
      </c>
      <c r="J16" s="80" t="s">
        <v>293</v>
      </c>
      <c r="K16" s="80" t="s">
        <v>214</v>
      </c>
      <c r="L16" s="80" t="s">
        <v>293</v>
      </c>
      <c r="M16" s="80" t="s">
        <v>295</v>
      </c>
      <c r="N16" s="80" t="s">
        <v>216</v>
      </c>
      <c r="O16" s="80" t="s">
        <v>215</v>
      </c>
      <c r="P16" s="80" t="s">
        <v>216</v>
      </c>
      <c r="Q16" s="80" t="s">
        <v>215</v>
      </c>
      <c r="R16" s="80" t="s">
        <v>289</v>
      </c>
      <c r="S16" s="80" t="s">
        <v>290</v>
      </c>
      <c r="T16" s="80" t="s">
        <v>291</v>
      </c>
      <c r="U16" s="80" t="s">
        <v>215</v>
      </c>
      <c r="V16" s="80" t="s">
        <v>216</v>
      </c>
      <c r="W16" s="80" t="s">
        <v>215</v>
      </c>
      <c r="X16" s="80" t="s">
        <v>216</v>
      </c>
      <c r="Y16" s="80" t="s">
        <v>215</v>
      </c>
      <c r="Z16" s="80" t="s">
        <v>216</v>
      </c>
      <c r="AA16" s="80" t="s">
        <v>215</v>
      </c>
      <c r="AB16" s="80" t="s">
        <v>216</v>
      </c>
      <c r="AC16" s="80" t="s">
        <v>215</v>
      </c>
      <c r="AD16" s="80" t="s">
        <v>292</v>
      </c>
      <c r="AE16" s="80" t="s">
        <v>215</v>
      </c>
      <c r="AF16" s="80" t="b">
        <v>1</v>
      </c>
      <c r="AG16" s="80" t="b">
        <v>0</v>
      </c>
      <c r="AH16" s="80" t="b">
        <v>0</v>
      </c>
      <c r="AI16" s="80" t="b">
        <v>0</v>
      </c>
      <c r="AJ16" s="80" t="b">
        <v>0</v>
      </c>
      <c r="AK16" s="80" t="b">
        <v>0</v>
      </c>
      <c r="AL16" s="80" t="b">
        <v>0</v>
      </c>
    </row>
    <row r="17" spans="1:38" s="80" customFormat="1" x14ac:dyDescent="0.25">
      <c r="A17" s="80" t="s">
        <v>296</v>
      </c>
      <c r="B17" s="81" t="s">
        <v>182</v>
      </c>
      <c r="C17" s="82" t="s">
        <v>287</v>
      </c>
      <c r="D17" s="80" t="s">
        <v>226</v>
      </c>
      <c r="E17" s="80" t="s">
        <v>297</v>
      </c>
      <c r="F17" s="80" t="s">
        <v>280</v>
      </c>
      <c r="G17" s="80" t="s">
        <v>214</v>
      </c>
      <c r="H17" s="82" t="s">
        <v>293</v>
      </c>
      <c r="I17" s="80" t="s">
        <v>298</v>
      </c>
      <c r="J17" s="82" t="s">
        <v>293</v>
      </c>
      <c r="K17" s="80" t="s">
        <v>214</v>
      </c>
      <c r="L17" s="82" t="s">
        <v>293</v>
      </c>
      <c r="M17" s="82" t="s">
        <v>299</v>
      </c>
      <c r="N17" s="80" t="s">
        <v>216</v>
      </c>
      <c r="O17" s="80" t="s">
        <v>215</v>
      </c>
      <c r="P17" s="80" t="s">
        <v>216</v>
      </c>
      <c r="Q17" s="80" t="s">
        <v>215</v>
      </c>
      <c r="R17" s="80" t="s">
        <v>300</v>
      </c>
      <c r="S17" s="80" t="s">
        <v>301</v>
      </c>
      <c r="T17" s="80" t="s">
        <v>302</v>
      </c>
      <c r="U17" s="80" t="s">
        <v>215</v>
      </c>
      <c r="V17" s="80" t="s">
        <v>216</v>
      </c>
      <c r="W17" s="80" t="s">
        <v>215</v>
      </c>
      <c r="X17" s="80" t="s">
        <v>216</v>
      </c>
      <c r="Y17" s="80" t="s">
        <v>215</v>
      </c>
      <c r="Z17" s="80" t="s">
        <v>216</v>
      </c>
      <c r="AA17" s="80" t="s">
        <v>215</v>
      </c>
      <c r="AB17" s="80" t="s">
        <v>216</v>
      </c>
      <c r="AC17" s="80" t="s">
        <v>215</v>
      </c>
      <c r="AD17" s="80" t="s">
        <v>303</v>
      </c>
      <c r="AE17" s="80" t="s">
        <v>215</v>
      </c>
      <c r="AF17" s="80" t="b">
        <v>1</v>
      </c>
    </row>
    <row r="18" spans="1:38" s="80" customFormat="1" x14ac:dyDescent="0.25">
      <c r="A18" s="80" t="s">
        <v>304</v>
      </c>
      <c r="B18" s="80" t="s">
        <v>182</v>
      </c>
      <c r="C18" s="80" t="s">
        <v>287</v>
      </c>
      <c r="D18" s="80" t="s">
        <v>226</v>
      </c>
      <c r="E18" s="80" t="s">
        <v>268</v>
      </c>
      <c r="F18" s="80" t="s">
        <v>280</v>
      </c>
      <c r="G18" s="80" t="s">
        <v>214</v>
      </c>
      <c r="H18" s="80" t="s">
        <v>293</v>
      </c>
      <c r="I18" s="80" t="s">
        <v>298</v>
      </c>
      <c r="J18" s="80" t="s">
        <v>293</v>
      </c>
      <c r="K18" s="80" t="s">
        <v>214</v>
      </c>
      <c r="L18" s="80" t="s">
        <v>293</v>
      </c>
      <c r="M18" s="80" t="s">
        <v>299</v>
      </c>
      <c r="N18" s="80" t="s">
        <v>216</v>
      </c>
      <c r="O18" s="80" t="s">
        <v>215</v>
      </c>
      <c r="P18" s="80" t="s">
        <v>216</v>
      </c>
      <c r="Q18" s="80" t="s">
        <v>215</v>
      </c>
      <c r="R18" s="80" t="s">
        <v>305</v>
      </c>
      <c r="S18" s="80" t="s">
        <v>306</v>
      </c>
      <c r="T18" s="80" t="s">
        <v>307</v>
      </c>
      <c r="U18" s="80" t="s">
        <v>215</v>
      </c>
      <c r="V18" s="80" t="s">
        <v>216</v>
      </c>
      <c r="W18" s="80" t="s">
        <v>215</v>
      </c>
      <c r="X18" s="80" t="s">
        <v>216</v>
      </c>
      <c r="Y18" s="80" t="s">
        <v>215</v>
      </c>
      <c r="Z18" s="80" t="s">
        <v>216</v>
      </c>
      <c r="AA18" s="80" t="s">
        <v>215</v>
      </c>
      <c r="AB18" s="80" t="s">
        <v>216</v>
      </c>
      <c r="AC18" s="80" t="s">
        <v>215</v>
      </c>
      <c r="AD18" s="80" t="s">
        <v>308</v>
      </c>
      <c r="AE18" s="80" t="s">
        <v>215</v>
      </c>
      <c r="AF18" s="80" t="b">
        <v>1</v>
      </c>
      <c r="AG18" s="80" t="b">
        <v>0</v>
      </c>
      <c r="AH18" s="80" t="b">
        <v>0</v>
      </c>
      <c r="AI18" s="80" t="b">
        <v>0</v>
      </c>
      <c r="AJ18" s="80" t="b">
        <v>0</v>
      </c>
      <c r="AK18" s="80" t="b">
        <v>0</v>
      </c>
      <c r="AL18" s="80" t="b">
        <v>0</v>
      </c>
    </row>
    <row r="19" spans="1:38" s="80" customFormat="1" x14ac:dyDescent="0.25">
      <c r="A19" s="80" t="s">
        <v>309</v>
      </c>
      <c r="B19" s="81" t="s">
        <v>182</v>
      </c>
      <c r="C19" s="82" t="s">
        <v>310</v>
      </c>
      <c r="D19" s="80" t="s">
        <v>226</v>
      </c>
      <c r="E19" s="80" t="s">
        <v>242</v>
      </c>
      <c r="F19" s="80" t="s">
        <v>235</v>
      </c>
      <c r="G19" s="80" t="s">
        <v>214</v>
      </c>
      <c r="H19" s="82" t="s">
        <v>312</v>
      </c>
      <c r="I19" s="80" t="s">
        <v>313</v>
      </c>
      <c r="J19" s="82" t="s">
        <v>312</v>
      </c>
      <c r="K19" s="80" t="s">
        <v>214</v>
      </c>
      <c r="L19" s="82" t="s">
        <v>312</v>
      </c>
      <c r="M19" s="82" t="s">
        <v>299</v>
      </c>
      <c r="N19" s="80" t="s">
        <v>216</v>
      </c>
      <c r="O19" s="80" t="s">
        <v>215</v>
      </c>
      <c r="P19" s="80" t="s">
        <v>216</v>
      </c>
      <c r="Q19" s="80" t="s">
        <v>215</v>
      </c>
      <c r="R19" s="80" t="s">
        <v>311</v>
      </c>
      <c r="S19" s="80" t="s">
        <v>316</v>
      </c>
      <c r="T19" s="80" t="s">
        <v>314</v>
      </c>
      <c r="U19" s="80" t="s">
        <v>215</v>
      </c>
      <c r="V19" s="80" t="s">
        <v>216</v>
      </c>
      <c r="W19" s="80" t="s">
        <v>215</v>
      </c>
      <c r="X19" s="80" t="s">
        <v>216</v>
      </c>
      <c r="Y19" s="80" t="s">
        <v>215</v>
      </c>
      <c r="Z19" s="80" t="s">
        <v>216</v>
      </c>
      <c r="AA19" s="80" t="s">
        <v>215</v>
      </c>
      <c r="AB19" s="80" t="s">
        <v>216</v>
      </c>
      <c r="AC19" s="80" t="s">
        <v>215</v>
      </c>
      <c r="AD19" s="80" t="s">
        <v>315</v>
      </c>
      <c r="AE19" s="80" t="s">
        <v>215</v>
      </c>
      <c r="AF19" s="80" t="b">
        <v>1</v>
      </c>
      <c r="AG19" s="80" t="b">
        <v>0</v>
      </c>
      <c r="AH19" s="80" t="b">
        <v>0</v>
      </c>
      <c r="AI19" s="80" t="b">
        <v>0</v>
      </c>
      <c r="AJ19" s="80" t="b">
        <v>0</v>
      </c>
      <c r="AK19" s="80" t="b">
        <v>0</v>
      </c>
      <c r="AL19" s="80" t="b">
        <v>0</v>
      </c>
    </row>
    <row r="20" spans="1:38" s="80" customFormat="1" x14ac:dyDescent="0.25">
      <c r="A20" s="80" t="s">
        <v>317</v>
      </c>
      <c r="B20" s="80" t="s">
        <v>182</v>
      </c>
      <c r="C20" s="80" t="s">
        <v>310</v>
      </c>
      <c r="D20" s="80" t="s">
        <v>226</v>
      </c>
      <c r="E20" s="80" t="s">
        <v>242</v>
      </c>
      <c r="F20" s="80" t="s">
        <v>249</v>
      </c>
      <c r="G20" s="80" t="s">
        <v>214</v>
      </c>
      <c r="H20" s="80" t="s">
        <v>320</v>
      </c>
      <c r="I20" s="80" t="s">
        <v>321</v>
      </c>
      <c r="J20" s="80" t="s">
        <v>320</v>
      </c>
      <c r="K20" s="80" t="s">
        <v>214</v>
      </c>
      <c r="L20" s="80" t="s">
        <v>320</v>
      </c>
      <c r="M20" s="80" t="s">
        <v>322</v>
      </c>
      <c r="N20" s="80" t="s">
        <v>216</v>
      </c>
      <c r="O20" s="80" t="s">
        <v>215</v>
      </c>
      <c r="P20" s="80" t="s">
        <v>216</v>
      </c>
      <c r="Q20" s="80" t="s">
        <v>215</v>
      </c>
      <c r="R20" s="80" t="s">
        <v>258</v>
      </c>
      <c r="S20" s="80" t="s">
        <v>250</v>
      </c>
      <c r="T20" s="80" t="s">
        <v>318</v>
      </c>
      <c r="U20" s="80" t="s">
        <v>215</v>
      </c>
      <c r="V20" s="80" t="s">
        <v>216</v>
      </c>
      <c r="W20" s="80" t="s">
        <v>215</v>
      </c>
      <c r="X20" s="80" t="s">
        <v>216</v>
      </c>
      <c r="Y20" s="80" t="s">
        <v>215</v>
      </c>
      <c r="Z20" s="80" t="s">
        <v>216</v>
      </c>
      <c r="AA20" s="80" t="s">
        <v>215</v>
      </c>
      <c r="AB20" s="80" t="s">
        <v>216</v>
      </c>
      <c r="AC20" s="80" t="s">
        <v>215</v>
      </c>
      <c r="AD20" s="80" t="s">
        <v>319</v>
      </c>
      <c r="AE20" s="80" t="s">
        <v>215</v>
      </c>
      <c r="AF20" s="80" t="b">
        <v>1</v>
      </c>
      <c r="AG20" s="80" t="b">
        <v>0</v>
      </c>
      <c r="AH20" s="80" t="b">
        <v>0</v>
      </c>
      <c r="AI20" s="80" t="b">
        <v>0</v>
      </c>
      <c r="AJ20" s="80" t="b">
        <v>0</v>
      </c>
      <c r="AK20" s="80" t="b">
        <v>0</v>
      </c>
      <c r="AL20" s="80" t="b">
        <v>0</v>
      </c>
    </row>
    <row r="21" spans="1:38" s="80" customFormat="1" x14ac:dyDescent="0.25">
      <c r="A21" s="80" t="s">
        <v>323</v>
      </c>
      <c r="B21" s="80" t="s">
        <v>182</v>
      </c>
      <c r="C21" s="80" t="s">
        <v>310</v>
      </c>
      <c r="D21" s="80" t="s">
        <v>226</v>
      </c>
      <c r="E21" s="80" t="s">
        <v>331</v>
      </c>
      <c r="F21" s="80" t="s">
        <v>325</v>
      </c>
      <c r="G21" s="80" t="s">
        <v>214</v>
      </c>
      <c r="H21" s="80" t="s">
        <v>333</v>
      </c>
      <c r="I21" s="80" t="s">
        <v>334</v>
      </c>
      <c r="J21" s="80" t="s">
        <v>333</v>
      </c>
      <c r="K21" s="80" t="s">
        <v>214</v>
      </c>
      <c r="L21" s="80" t="s">
        <v>333</v>
      </c>
      <c r="M21" s="80" t="s">
        <v>335</v>
      </c>
      <c r="N21" s="80" t="s">
        <v>216</v>
      </c>
      <c r="O21" s="80" t="s">
        <v>215</v>
      </c>
      <c r="P21" s="80" t="s">
        <v>216</v>
      </c>
      <c r="Q21" s="80" t="s">
        <v>215</v>
      </c>
      <c r="R21" s="80" t="s">
        <v>332</v>
      </c>
      <c r="S21" s="80" t="s">
        <v>214</v>
      </c>
      <c r="T21" s="80" t="s">
        <v>216</v>
      </c>
      <c r="U21" s="80" t="s">
        <v>215</v>
      </c>
      <c r="V21" s="80" t="s">
        <v>216</v>
      </c>
      <c r="W21" s="80" t="s">
        <v>215</v>
      </c>
      <c r="X21" s="80" t="s">
        <v>216</v>
      </c>
      <c r="Y21" s="80" t="s">
        <v>215</v>
      </c>
      <c r="Z21" s="80" t="s">
        <v>216</v>
      </c>
      <c r="AA21" s="80" t="s">
        <v>215</v>
      </c>
      <c r="AB21" s="80" t="s">
        <v>216</v>
      </c>
      <c r="AC21" s="80" t="s">
        <v>215</v>
      </c>
      <c r="AD21" s="80" t="s">
        <v>332</v>
      </c>
      <c r="AE21" s="80" t="s">
        <v>215</v>
      </c>
      <c r="AF21" s="80" t="b">
        <v>1</v>
      </c>
      <c r="AG21" s="80" t="b">
        <v>0</v>
      </c>
      <c r="AH21" s="80" t="b">
        <v>0</v>
      </c>
      <c r="AI21" s="80" t="b">
        <v>0</v>
      </c>
      <c r="AJ21" s="80" t="b">
        <v>0</v>
      </c>
      <c r="AK21" s="80" t="b">
        <v>0</v>
      </c>
      <c r="AL21" s="80" t="b">
        <v>0</v>
      </c>
    </row>
    <row r="22" spans="1:38" s="80" customFormat="1" x14ac:dyDescent="0.25">
      <c r="A22" s="80" t="s">
        <v>336</v>
      </c>
      <c r="B22" s="81" t="s">
        <v>182</v>
      </c>
      <c r="C22" s="82" t="s">
        <v>310</v>
      </c>
      <c r="D22" s="80" t="s">
        <v>226</v>
      </c>
      <c r="E22" s="80" t="s">
        <v>242</v>
      </c>
      <c r="F22" s="80" t="s">
        <v>325</v>
      </c>
      <c r="G22" s="80" t="s">
        <v>214</v>
      </c>
      <c r="H22" s="82" t="s">
        <v>333</v>
      </c>
      <c r="I22" s="80" t="s">
        <v>337</v>
      </c>
      <c r="J22" s="82" t="s">
        <v>333</v>
      </c>
      <c r="K22" s="80" t="s">
        <v>214</v>
      </c>
      <c r="L22" s="82" t="s">
        <v>333</v>
      </c>
      <c r="M22" s="82" t="s">
        <v>335</v>
      </c>
      <c r="N22" s="80" t="s">
        <v>216</v>
      </c>
      <c r="O22" s="80" t="s">
        <v>215</v>
      </c>
      <c r="P22" s="80" t="s">
        <v>216</v>
      </c>
      <c r="Q22" s="80" t="s">
        <v>215</v>
      </c>
      <c r="R22" s="80" t="s">
        <v>338</v>
      </c>
      <c r="S22" s="80" t="s">
        <v>214</v>
      </c>
      <c r="T22" s="80" t="s">
        <v>216</v>
      </c>
      <c r="U22" s="80" t="s">
        <v>215</v>
      </c>
      <c r="V22" s="80" t="s">
        <v>216</v>
      </c>
      <c r="W22" s="80" t="s">
        <v>215</v>
      </c>
      <c r="X22" s="80" t="s">
        <v>216</v>
      </c>
      <c r="Y22" s="80" t="s">
        <v>215</v>
      </c>
      <c r="Z22" s="80" t="s">
        <v>216</v>
      </c>
      <c r="AA22" s="80" t="s">
        <v>215</v>
      </c>
      <c r="AB22" s="80" t="s">
        <v>216</v>
      </c>
      <c r="AC22" s="80" t="s">
        <v>215</v>
      </c>
      <c r="AD22" s="80" t="s">
        <v>338</v>
      </c>
      <c r="AE22" s="80" t="s">
        <v>215</v>
      </c>
      <c r="AF22" s="80" t="b">
        <v>1</v>
      </c>
      <c r="AG22" s="80" t="b">
        <v>0</v>
      </c>
      <c r="AH22" s="80" t="b">
        <v>0</v>
      </c>
      <c r="AI22" s="80" t="b">
        <v>0</v>
      </c>
      <c r="AJ22" s="80" t="b">
        <v>0</v>
      </c>
      <c r="AK22" s="80" t="b">
        <v>0</v>
      </c>
      <c r="AL22" s="80" t="b">
        <v>0</v>
      </c>
    </row>
    <row r="23" spans="1:38" s="80" customFormat="1" x14ac:dyDescent="0.25">
      <c r="A23" s="80" t="s">
        <v>339</v>
      </c>
      <c r="B23" s="81" t="s">
        <v>182</v>
      </c>
      <c r="C23" s="82" t="s">
        <v>310</v>
      </c>
      <c r="D23" s="80" t="s">
        <v>226</v>
      </c>
      <c r="E23" s="80" t="s">
        <v>340</v>
      </c>
      <c r="F23" s="80" t="s">
        <v>325</v>
      </c>
      <c r="G23" s="80" t="s">
        <v>214</v>
      </c>
      <c r="H23" s="82" t="s">
        <v>333</v>
      </c>
      <c r="I23" s="80" t="s">
        <v>341</v>
      </c>
      <c r="J23" s="82" t="s">
        <v>333</v>
      </c>
      <c r="K23" s="80" t="s">
        <v>214</v>
      </c>
      <c r="L23" s="82" t="s">
        <v>333</v>
      </c>
      <c r="M23" s="82" t="s">
        <v>335</v>
      </c>
      <c r="N23" s="80" t="s">
        <v>216</v>
      </c>
      <c r="O23" s="80" t="s">
        <v>215</v>
      </c>
      <c r="P23" s="80" t="s">
        <v>216</v>
      </c>
      <c r="Q23" s="80" t="s">
        <v>215</v>
      </c>
      <c r="R23" s="80" t="s">
        <v>342</v>
      </c>
      <c r="S23" s="80" t="s">
        <v>214</v>
      </c>
      <c r="T23" s="80" t="s">
        <v>216</v>
      </c>
      <c r="U23" s="80" t="s">
        <v>215</v>
      </c>
      <c r="V23" s="80" t="s">
        <v>216</v>
      </c>
      <c r="W23" s="80" t="s">
        <v>215</v>
      </c>
      <c r="X23" s="80" t="s">
        <v>216</v>
      </c>
      <c r="Y23" s="80" t="s">
        <v>215</v>
      </c>
      <c r="Z23" s="80" t="s">
        <v>216</v>
      </c>
      <c r="AA23" s="80" t="s">
        <v>215</v>
      </c>
      <c r="AB23" s="80" t="s">
        <v>216</v>
      </c>
      <c r="AC23" s="80" t="s">
        <v>215</v>
      </c>
      <c r="AD23" s="80" t="s">
        <v>342</v>
      </c>
      <c r="AE23" s="80" t="s">
        <v>215</v>
      </c>
      <c r="AF23" s="80" t="b">
        <v>1</v>
      </c>
      <c r="AG23" s="80" t="b">
        <v>0</v>
      </c>
      <c r="AH23" s="80" t="b">
        <v>0</v>
      </c>
      <c r="AI23" s="80" t="b">
        <v>0</v>
      </c>
      <c r="AJ23" s="80" t="b">
        <v>0</v>
      </c>
      <c r="AK23" s="80" t="b">
        <v>0</v>
      </c>
      <c r="AL23" s="80" t="b">
        <v>0</v>
      </c>
    </row>
    <row r="24" spans="1:38" s="80" customFormat="1" x14ac:dyDescent="0.25">
      <c r="A24" s="80" t="s">
        <v>343</v>
      </c>
      <c r="B24" s="81" t="s">
        <v>182</v>
      </c>
      <c r="C24" s="82" t="s">
        <v>310</v>
      </c>
      <c r="D24" s="80" t="s">
        <v>226</v>
      </c>
      <c r="E24" s="80" t="s">
        <v>344</v>
      </c>
      <c r="F24" s="80" t="s">
        <v>325</v>
      </c>
      <c r="G24" s="80" t="s">
        <v>214</v>
      </c>
      <c r="H24" s="82" t="s">
        <v>333</v>
      </c>
      <c r="I24" s="80" t="s">
        <v>346</v>
      </c>
      <c r="J24" s="82" t="s">
        <v>333</v>
      </c>
      <c r="K24" s="80" t="s">
        <v>214</v>
      </c>
      <c r="L24" s="82" t="s">
        <v>333</v>
      </c>
      <c r="M24" s="82" t="s">
        <v>335</v>
      </c>
      <c r="N24" s="80" t="s">
        <v>216</v>
      </c>
      <c r="O24" s="80" t="s">
        <v>215</v>
      </c>
      <c r="P24" s="80" t="s">
        <v>216</v>
      </c>
      <c r="Q24" s="80" t="s">
        <v>215</v>
      </c>
      <c r="R24" s="80" t="s">
        <v>345</v>
      </c>
      <c r="S24" s="80" t="s">
        <v>215</v>
      </c>
      <c r="T24" s="80" t="s">
        <v>216</v>
      </c>
      <c r="U24" s="80" t="s">
        <v>215</v>
      </c>
      <c r="V24" s="80" t="s">
        <v>216</v>
      </c>
      <c r="W24" s="80" t="s">
        <v>215</v>
      </c>
      <c r="X24" s="80" t="s">
        <v>216</v>
      </c>
      <c r="Y24" s="80" t="s">
        <v>215</v>
      </c>
      <c r="Z24" s="80" t="s">
        <v>216</v>
      </c>
      <c r="AA24" s="80" t="s">
        <v>215</v>
      </c>
      <c r="AB24" s="80" t="s">
        <v>216</v>
      </c>
      <c r="AC24" s="80" t="s">
        <v>215</v>
      </c>
      <c r="AD24" s="80" t="s">
        <v>345</v>
      </c>
      <c r="AE24" s="80" t="s">
        <v>215</v>
      </c>
      <c r="AF24" s="80" t="b">
        <v>1</v>
      </c>
      <c r="AG24" s="80" t="b">
        <v>0</v>
      </c>
      <c r="AH24" s="80" t="b">
        <v>0</v>
      </c>
      <c r="AI24" s="80" t="b">
        <v>0</v>
      </c>
      <c r="AJ24" s="80" t="b">
        <v>0</v>
      </c>
      <c r="AK24" s="80" t="b">
        <v>0</v>
      </c>
      <c r="AL24" s="80" t="b">
        <v>0</v>
      </c>
    </row>
    <row r="25" spans="1:38" s="80" customFormat="1" x14ac:dyDescent="0.25">
      <c r="A25" s="80" t="s">
        <v>352</v>
      </c>
      <c r="B25" s="80" t="s">
        <v>182</v>
      </c>
      <c r="C25" s="80" t="s">
        <v>353</v>
      </c>
      <c r="D25" s="80" t="s">
        <v>226</v>
      </c>
      <c r="E25" s="80" t="s">
        <v>242</v>
      </c>
      <c r="F25" s="80" t="s">
        <v>348</v>
      </c>
      <c r="G25" s="80" t="s">
        <v>214</v>
      </c>
      <c r="H25" s="80" t="s">
        <v>354</v>
      </c>
      <c r="I25" s="80" t="s">
        <v>355</v>
      </c>
      <c r="J25" s="80" t="s">
        <v>354</v>
      </c>
      <c r="K25" s="80" t="s">
        <v>214</v>
      </c>
      <c r="L25" s="80" t="s">
        <v>354</v>
      </c>
      <c r="M25" s="80" t="s">
        <v>354</v>
      </c>
      <c r="N25" s="80" t="s">
        <v>216</v>
      </c>
      <c r="O25" s="80" t="s">
        <v>215</v>
      </c>
      <c r="P25" s="80" t="s">
        <v>216</v>
      </c>
      <c r="Q25" s="80" t="s">
        <v>215</v>
      </c>
      <c r="R25" s="80" t="s">
        <v>356</v>
      </c>
      <c r="S25" s="80" t="s">
        <v>215</v>
      </c>
      <c r="T25" s="80" t="s">
        <v>357</v>
      </c>
      <c r="U25" s="80" t="s">
        <v>215</v>
      </c>
      <c r="V25" s="80" t="s">
        <v>216</v>
      </c>
      <c r="W25" s="80" t="s">
        <v>215</v>
      </c>
      <c r="X25" s="80" t="s">
        <v>216</v>
      </c>
      <c r="Y25" s="80" t="s">
        <v>215</v>
      </c>
      <c r="Z25" s="80" t="s">
        <v>216</v>
      </c>
      <c r="AA25" s="80" t="s">
        <v>215</v>
      </c>
      <c r="AB25" s="80" t="s">
        <v>216</v>
      </c>
      <c r="AC25" s="80" t="s">
        <v>215</v>
      </c>
      <c r="AD25" s="80" t="s">
        <v>358</v>
      </c>
      <c r="AE25" s="80" t="s">
        <v>215</v>
      </c>
      <c r="AF25" s="80" t="b">
        <v>1</v>
      </c>
      <c r="AG25" s="80" t="b">
        <v>0</v>
      </c>
      <c r="AH25" s="80" t="b">
        <v>0</v>
      </c>
      <c r="AI25" s="80" t="b">
        <v>0</v>
      </c>
      <c r="AJ25" s="80" t="b">
        <v>0</v>
      </c>
      <c r="AK25" s="80" t="b">
        <v>0</v>
      </c>
      <c r="AL25" s="80" t="b">
        <v>0</v>
      </c>
    </row>
    <row r="26" spans="1:38" s="80" customFormat="1" x14ac:dyDescent="0.25">
      <c r="A26" s="80" t="s">
        <v>359</v>
      </c>
      <c r="B26" s="81" t="s">
        <v>182</v>
      </c>
      <c r="C26" s="82">
        <v>43654</v>
      </c>
      <c r="D26" s="80" t="s">
        <v>226</v>
      </c>
      <c r="E26" s="80" t="s">
        <v>227</v>
      </c>
      <c r="F26" s="80" t="s">
        <v>361</v>
      </c>
      <c r="G26" s="80" t="s">
        <v>214</v>
      </c>
      <c r="H26" s="82">
        <v>43614</v>
      </c>
      <c r="I26" s="80" t="s">
        <v>365</v>
      </c>
      <c r="J26" s="82">
        <v>43614</v>
      </c>
      <c r="K26" s="80" t="s">
        <v>214</v>
      </c>
      <c r="L26" s="82">
        <v>43614</v>
      </c>
      <c r="M26" s="82">
        <v>43626</v>
      </c>
      <c r="N26" s="80">
        <v>0</v>
      </c>
      <c r="O26" s="83" t="s">
        <v>215</v>
      </c>
      <c r="P26" s="80">
        <v>0</v>
      </c>
      <c r="Q26" s="83" t="s">
        <v>215</v>
      </c>
      <c r="R26" s="80" t="s">
        <v>366</v>
      </c>
      <c r="S26" s="83" t="s">
        <v>215</v>
      </c>
      <c r="T26" s="80" t="s">
        <v>384</v>
      </c>
      <c r="U26" s="83" t="s">
        <v>215</v>
      </c>
      <c r="V26" s="80">
        <v>0</v>
      </c>
      <c r="W26" s="83" t="s">
        <v>215</v>
      </c>
      <c r="X26" s="80">
        <v>0</v>
      </c>
      <c r="Y26" s="83" t="s">
        <v>215</v>
      </c>
      <c r="Z26" s="80">
        <v>0</v>
      </c>
      <c r="AA26" s="83" t="s">
        <v>215</v>
      </c>
      <c r="AB26" s="80">
        <v>0</v>
      </c>
      <c r="AC26" s="83" t="s">
        <v>215</v>
      </c>
      <c r="AD26" s="80" t="s">
        <v>385</v>
      </c>
      <c r="AE26" s="80" t="s">
        <v>215</v>
      </c>
      <c r="AF26" s="80" t="b">
        <v>1</v>
      </c>
      <c r="AG26" s="80" t="b">
        <v>0</v>
      </c>
      <c r="AH26" s="80" t="b">
        <v>0</v>
      </c>
      <c r="AI26" s="80" t="b">
        <v>0</v>
      </c>
      <c r="AJ26" s="80" t="b">
        <v>0</v>
      </c>
      <c r="AK26" s="80" t="b">
        <v>0</v>
      </c>
      <c r="AL26" s="80" t="b">
        <v>0</v>
      </c>
    </row>
    <row r="27" spans="1:38" s="80" customFormat="1" x14ac:dyDescent="0.25">
      <c r="A27" s="80" t="s">
        <v>367</v>
      </c>
      <c r="B27" s="81" t="s">
        <v>182</v>
      </c>
      <c r="C27" s="82">
        <v>43654</v>
      </c>
      <c r="D27" s="80" t="s">
        <v>226</v>
      </c>
      <c r="E27" s="80" t="s">
        <v>242</v>
      </c>
      <c r="F27" s="80" t="s">
        <v>370</v>
      </c>
      <c r="G27" s="80" t="s">
        <v>214</v>
      </c>
      <c r="H27" s="82">
        <v>43644</v>
      </c>
      <c r="I27" s="80" t="s">
        <v>374</v>
      </c>
      <c r="J27" s="82">
        <v>43644</v>
      </c>
      <c r="K27" s="80" t="s">
        <v>214</v>
      </c>
      <c r="L27" s="82">
        <v>43644</v>
      </c>
      <c r="M27" s="82">
        <v>43674</v>
      </c>
      <c r="N27" s="80">
        <v>0</v>
      </c>
      <c r="O27" s="83" t="s">
        <v>215</v>
      </c>
      <c r="P27" s="80">
        <v>0</v>
      </c>
      <c r="Q27" s="83" t="s">
        <v>215</v>
      </c>
      <c r="R27" s="80" t="s">
        <v>368</v>
      </c>
      <c r="S27" s="83" t="s">
        <v>215</v>
      </c>
      <c r="T27" s="80" t="s">
        <v>382</v>
      </c>
      <c r="U27" s="83" t="s">
        <v>215</v>
      </c>
      <c r="V27" s="80">
        <v>0</v>
      </c>
      <c r="W27" s="83" t="s">
        <v>215</v>
      </c>
      <c r="X27" s="80">
        <v>0</v>
      </c>
      <c r="Y27" s="83" t="s">
        <v>215</v>
      </c>
      <c r="Z27" s="80">
        <v>0</v>
      </c>
      <c r="AA27" s="83" t="s">
        <v>215</v>
      </c>
      <c r="AB27" s="80">
        <v>0</v>
      </c>
      <c r="AC27" s="83" t="s">
        <v>215</v>
      </c>
      <c r="AD27" s="80" t="s">
        <v>383</v>
      </c>
      <c r="AE27" s="80" t="s">
        <v>215</v>
      </c>
      <c r="AF27" s="80" t="b">
        <v>1</v>
      </c>
      <c r="AG27" s="80" t="b">
        <v>0</v>
      </c>
      <c r="AH27" s="80" t="b">
        <v>0</v>
      </c>
      <c r="AI27" s="80" t="b">
        <v>0</v>
      </c>
      <c r="AJ27" s="80" t="b">
        <v>0</v>
      </c>
      <c r="AK27" s="80" t="b">
        <v>0</v>
      </c>
      <c r="AL27" s="80" t="b">
        <v>0</v>
      </c>
    </row>
    <row r="28" spans="1:38" s="80" customFormat="1" x14ac:dyDescent="0.25">
      <c r="A28" s="80" t="s">
        <v>375</v>
      </c>
      <c r="B28" s="81" t="s">
        <v>182</v>
      </c>
      <c r="C28" s="82">
        <v>43654</v>
      </c>
      <c r="D28" s="80" t="s">
        <v>226</v>
      </c>
      <c r="E28" s="80" t="s">
        <v>242</v>
      </c>
      <c r="F28" s="80" t="s">
        <v>235</v>
      </c>
      <c r="G28" s="80" t="s">
        <v>214</v>
      </c>
      <c r="H28" s="82">
        <v>43646</v>
      </c>
      <c r="I28" s="80" t="s">
        <v>379</v>
      </c>
      <c r="J28" s="82">
        <v>43646</v>
      </c>
      <c r="K28" s="80" t="s">
        <v>214</v>
      </c>
      <c r="L28" s="82">
        <v>43646</v>
      </c>
      <c r="M28" s="82">
        <v>43661</v>
      </c>
      <c r="N28" s="80">
        <v>0</v>
      </c>
      <c r="O28" s="83" t="s">
        <v>215</v>
      </c>
      <c r="P28" s="80">
        <v>0</v>
      </c>
      <c r="Q28" s="83" t="s">
        <v>215</v>
      </c>
      <c r="R28" s="80" t="s">
        <v>376</v>
      </c>
      <c r="S28" s="83" t="s">
        <v>215</v>
      </c>
      <c r="T28" s="80" t="s">
        <v>380</v>
      </c>
      <c r="U28" s="83" t="s">
        <v>215</v>
      </c>
      <c r="V28" s="80">
        <v>0</v>
      </c>
      <c r="W28" s="83" t="s">
        <v>215</v>
      </c>
      <c r="X28" s="80">
        <v>0</v>
      </c>
      <c r="Y28" s="83" t="s">
        <v>215</v>
      </c>
      <c r="Z28" s="80">
        <v>0</v>
      </c>
      <c r="AA28" s="83" t="s">
        <v>215</v>
      </c>
      <c r="AB28" s="80">
        <v>0</v>
      </c>
      <c r="AC28" s="83" t="s">
        <v>215</v>
      </c>
      <c r="AD28" s="80" t="s">
        <v>381</v>
      </c>
      <c r="AE28" s="80" t="s">
        <v>215</v>
      </c>
      <c r="AF28" s="80" t="b">
        <v>1</v>
      </c>
      <c r="AG28" s="80" t="b">
        <v>0</v>
      </c>
      <c r="AH28" s="80" t="b">
        <v>0</v>
      </c>
      <c r="AI28" s="80" t="b">
        <v>0</v>
      </c>
      <c r="AJ28" s="80" t="b">
        <v>0</v>
      </c>
      <c r="AK28" s="80" t="b">
        <v>0</v>
      </c>
      <c r="AL28" s="80" t="b">
        <v>0</v>
      </c>
    </row>
    <row r="29" spans="1:38" s="80" customFormat="1" x14ac:dyDescent="0.25">
      <c r="A29" s="80" t="s">
        <v>377</v>
      </c>
      <c r="B29" s="81" t="s">
        <v>182</v>
      </c>
      <c r="C29" s="82">
        <v>43654</v>
      </c>
      <c r="D29" s="80" t="s">
        <v>226</v>
      </c>
      <c r="E29" s="80" t="s">
        <v>242</v>
      </c>
      <c r="F29" s="80" t="s">
        <v>249</v>
      </c>
      <c r="G29" s="80" t="s">
        <v>214</v>
      </c>
      <c r="H29" s="82">
        <v>43647</v>
      </c>
      <c r="I29" s="80" t="s">
        <v>378</v>
      </c>
      <c r="J29" s="82">
        <v>43647</v>
      </c>
      <c r="K29" s="80" t="s">
        <v>214</v>
      </c>
      <c r="L29" s="82">
        <v>43647</v>
      </c>
      <c r="M29" s="82">
        <v>43662</v>
      </c>
      <c r="N29" s="80">
        <v>0</v>
      </c>
      <c r="O29" s="83" t="s">
        <v>215</v>
      </c>
      <c r="P29" s="80">
        <v>0</v>
      </c>
      <c r="Q29" s="83" t="s">
        <v>215</v>
      </c>
      <c r="R29" s="80" t="s">
        <v>258</v>
      </c>
      <c r="S29" s="83" t="s">
        <v>215</v>
      </c>
      <c r="T29" s="80" t="s">
        <v>259</v>
      </c>
      <c r="U29" s="83" t="s">
        <v>215</v>
      </c>
      <c r="V29" s="80">
        <v>0</v>
      </c>
      <c r="W29" s="83" t="s">
        <v>215</v>
      </c>
      <c r="X29" s="80">
        <v>0</v>
      </c>
      <c r="Y29" s="83" t="s">
        <v>215</v>
      </c>
      <c r="Z29" s="80">
        <v>0</v>
      </c>
      <c r="AA29" s="83" t="s">
        <v>215</v>
      </c>
      <c r="AB29" s="80">
        <v>0</v>
      </c>
      <c r="AC29" s="83" t="s">
        <v>215</v>
      </c>
      <c r="AD29" s="80" t="s">
        <v>260</v>
      </c>
      <c r="AE29" s="80" t="s">
        <v>215</v>
      </c>
      <c r="AF29" s="80" t="b">
        <v>1</v>
      </c>
      <c r="AG29" s="80" t="b">
        <v>0</v>
      </c>
      <c r="AH29" s="80" t="b">
        <v>0</v>
      </c>
      <c r="AI29" s="80" t="b">
        <v>0</v>
      </c>
      <c r="AJ29" s="80" t="b">
        <v>0</v>
      </c>
      <c r="AK29" s="80" t="b">
        <v>0</v>
      </c>
      <c r="AL29" s="80" t="b">
        <v>0</v>
      </c>
    </row>
    <row r="30" spans="1:38" x14ac:dyDescent="0.25">
      <c r="A30" t="s">
        <v>386</v>
      </c>
      <c r="B30" t="s">
        <v>182</v>
      </c>
      <c r="C30" t="s">
        <v>387</v>
      </c>
      <c r="D30" t="s">
        <v>226</v>
      </c>
      <c r="E30" t="s">
        <v>242</v>
      </c>
      <c r="F30" t="s">
        <v>325</v>
      </c>
      <c r="G30" t="s">
        <v>214</v>
      </c>
      <c r="H30" t="s">
        <v>312</v>
      </c>
      <c r="I30" t="s">
        <v>391</v>
      </c>
      <c r="J30" t="s">
        <v>312</v>
      </c>
      <c r="K30" t="s">
        <v>214</v>
      </c>
      <c r="L30" t="s">
        <v>312</v>
      </c>
      <c r="M30" t="s">
        <v>392</v>
      </c>
      <c r="N30" t="s">
        <v>216</v>
      </c>
      <c r="O30" t="s">
        <v>215</v>
      </c>
      <c r="P30" t="s">
        <v>216</v>
      </c>
      <c r="Q30" t="s">
        <v>215</v>
      </c>
      <c r="R30" t="s">
        <v>388</v>
      </c>
      <c r="S30" t="s">
        <v>215</v>
      </c>
      <c r="T30" t="s">
        <v>389</v>
      </c>
      <c r="U30" t="s">
        <v>215</v>
      </c>
      <c r="V30" t="s">
        <v>216</v>
      </c>
      <c r="W30" t="s">
        <v>215</v>
      </c>
      <c r="X30" t="s">
        <v>216</v>
      </c>
      <c r="Y30" t="s">
        <v>215</v>
      </c>
      <c r="Z30" t="s">
        <v>216</v>
      </c>
      <c r="AA30" t="s">
        <v>215</v>
      </c>
      <c r="AB30" t="s">
        <v>216</v>
      </c>
      <c r="AC30" t="s">
        <v>215</v>
      </c>
      <c r="AD30" t="s">
        <v>390</v>
      </c>
      <c r="AE30" t="s">
        <v>215</v>
      </c>
      <c r="AF30" t="b">
        <v>1</v>
      </c>
      <c r="AG30" t="b">
        <v>0</v>
      </c>
      <c r="AH30" t="b">
        <v>0</v>
      </c>
      <c r="AI30" t="b">
        <v>0</v>
      </c>
      <c r="AJ30" t="b">
        <v>0</v>
      </c>
      <c r="AK30" t="b">
        <v>0</v>
      </c>
      <c r="AL30" t="b">
        <v>0</v>
      </c>
    </row>
    <row r="31" spans="1:38" s="80" customFormat="1" x14ac:dyDescent="0.25">
      <c r="A31" s="80" t="s">
        <v>393</v>
      </c>
      <c r="B31" s="81" t="s">
        <v>182</v>
      </c>
      <c r="C31" s="82">
        <v>43671</v>
      </c>
      <c r="D31" s="80" t="s">
        <v>226</v>
      </c>
      <c r="E31" s="80" t="s">
        <v>404</v>
      </c>
      <c r="F31" s="80" t="s">
        <v>325</v>
      </c>
      <c r="G31" s="80" t="s">
        <v>214</v>
      </c>
      <c r="H31" s="82">
        <v>43616</v>
      </c>
      <c r="I31" s="80" t="s">
        <v>397</v>
      </c>
      <c r="J31" s="82">
        <v>43616</v>
      </c>
      <c r="K31" s="80" t="s">
        <v>214</v>
      </c>
      <c r="L31" s="82">
        <v>43616</v>
      </c>
      <c r="M31" s="82">
        <v>43676</v>
      </c>
      <c r="N31" s="80">
        <v>0</v>
      </c>
      <c r="O31" s="83" t="s">
        <v>215</v>
      </c>
      <c r="P31" s="80">
        <v>0</v>
      </c>
      <c r="Q31" s="83" t="s">
        <v>215</v>
      </c>
      <c r="R31" s="80" t="s">
        <v>394</v>
      </c>
      <c r="S31" s="83" t="s">
        <v>215</v>
      </c>
      <c r="T31" s="80" t="s">
        <v>395</v>
      </c>
      <c r="U31" s="83" t="s">
        <v>215</v>
      </c>
      <c r="V31" s="80">
        <v>0</v>
      </c>
      <c r="W31" s="83" t="s">
        <v>215</v>
      </c>
      <c r="X31" s="80">
        <v>0</v>
      </c>
      <c r="Y31" s="83" t="s">
        <v>215</v>
      </c>
      <c r="Z31" s="80">
        <v>0</v>
      </c>
      <c r="AA31" s="83" t="s">
        <v>215</v>
      </c>
      <c r="AB31" s="80">
        <v>0</v>
      </c>
      <c r="AC31" s="83" t="s">
        <v>215</v>
      </c>
      <c r="AD31" s="80" t="s">
        <v>396</v>
      </c>
      <c r="AE31" s="80" t="s">
        <v>215</v>
      </c>
      <c r="AF31" s="80" t="b">
        <v>1</v>
      </c>
      <c r="AG31" s="80" t="b">
        <v>0</v>
      </c>
      <c r="AH31" s="80" t="b">
        <v>0</v>
      </c>
      <c r="AI31" s="80" t="b">
        <v>0</v>
      </c>
      <c r="AJ31" s="80" t="b">
        <v>0</v>
      </c>
      <c r="AK31" s="80" t="b">
        <v>0</v>
      </c>
      <c r="AL31" s="80" t="b">
        <v>0</v>
      </c>
    </row>
    <row r="32" spans="1:38" x14ac:dyDescent="0.25">
      <c r="A32" t="s">
        <v>398</v>
      </c>
      <c r="B32" t="s">
        <v>182</v>
      </c>
      <c r="C32" t="s">
        <v>387</v>
      </c>
      <c r="D32" t="s">
        <v>226</v>
      </c>
      <c r="E32" t="s">
        <v>399</v>
      </c>
      <c r="F32" t="s">
        <v>325</v>
      </c>
      <c r="G32" t="s">
        <v>214</v>
      </c>
      <c r="H32" t="s">
        <v>312</v>
      </c>
      <c r="I32" t="s">
        <v>403</v>
      </c>
      <c r="J32" t="s">
        <v>312</v>
      </c>
      <c r="K32" t="s">
        <v>214</v>
      </c>
      <c r="L32" t="s">
        <v>312</v>
      </c>
      <c r="M32" t="s">
        <v>392</v>
      </c>
      <c r="N32" t="s">
        <v>216</v>
      </c>
      <c r="O32" t="s">
        <v>215</v>
      </c>
      <c r="P32" t="s">
        <v>216</v>
      </c>
      <c r="Q32" t="s">
        <v>215</v>
      </c>
      <c r="R32" t="s">
        <v>400</v>
      </c>
      <c r="S32" t="s">
        <v>215</v>
      </c>
      <c r="T32" t="s">
        <v>401</v>
      </c>
      <c r="U32" t="s">
        <v>215</v>
      </c>
      <c r="V32" t="s">
        <v>216</v>
      </c>
      <c r="W32" t="s">
        <v>215</v>
      </c>
      <c r="X32" t="s">
        <v>216</v>
      </c>
      <c r="Y32" t="s">
        <v>215</v>
      </c>
      <c r="Z32" t="s">
        <v>216</v>
      </c>
      <c r="AA32" t="s">
        <v>215</v>
      </c>
      <c r="AB32" t="s">
        <v>216</v>
      </c>
      <c r="AC32" t="s">
        <v>215</v>
      </c>
      <c r="AD32" t="s">
        <v>402</v>
      </c>
      <c r="AE32" t="s">
        <v>215</v>
      </c>
      <c r="AF32" t="b">
        <v>1</v>
      </c>
      <c r="AG32" t="b">
        <v>0</v>
      </c>
      <c r="AH32" t="b">
        <v>0</v>
      </c>
      <c r="AI32" t="b">
        <v>0</v>
      </c>
      <c r="AJ32" t="b">
        <v>0</v>
      </c>
      <c r="AK32" t="b">
        <v>0</v>
      </c>
      <c r="AL32" t="b">
        <v>0</v>
      </c>
    </row>
    <row r="33" spans="1:38" x14ac:dyDescent="0.25">
      <c r="A33" t="s">
        <v>405</v>
      </c>
      <c r="B33" t="s">
        <v>182</v>
      </c>
      <c r="C33" t="s">
        <v>406</v>
      </c>
      <c r="D33" t="s">
        <v>226</v>
      </c>
      <c r="E33" t="s">
        <v>242</v>
      </c>
      <c r="F33" t="s">
        <v>235</v>
      </c>
      <c r="G33" t="s">
        <v>214</v>
      </c>
      <c r="H33" t="s">
        <v>410</v>
      </c>
      <c r="I33" t="s">
        <v>411</v>
      </c>
      <c r="J33" t="s">
        <v>410</v>
      </c>
      <c r="K33" t="s">
        <v>214</v>
      </c>
      <c r="L33" t="s">
        <v>410</v>
      </c>
      <c r="M33" t="s">
        <v>410</v>
      </c>
      <c r="N33" t="s">
        <v>216</v>
      </c>
      <c r="O33" t="s">
        <v>215</v>
      </c>
      <c r="P33" t="s">
        <v>216</v>
      </c>
      <c r="Q33" t="s">
        <v>215</v>
      </c>
      <c r="R33" t="s">
        <v>407</v>
      </c>
      <c r="S33" t="s">
        <v>215</v>
      </c>
      <c r="T33" t="s">
        <v>408</v>
      </c>
      <c r="U33" t="s">
        <v>215</v>
      </c>
      <c r="V33" t="s">
        <v>216</v>
      </c>
      <c r="W33" t="s">
        <v>215</v>
      </c>
      <c r="X33" t="s">
        <v>216</v>
      </c>
      <c r="Y33" t="s">
        <v>215</v>
      </c>
      <c r="Z33" t="s">
        <v>216</v>
      </c>
      <c r="AA33" t="s">
        <v>215</v>
      </c>
      <c r="AB33" t="s">
        <v>216</v>
      </c>
      <c r="AC33" t="s">
        <v>215</v>
      </c>
      <c r="AD33" t="s">
        <v>409</v>
      </c>
      <c r="AE33" t="s">
        <v>215</v>
      </c>
      <c r="AF33" t="b">
        <v>1</v>
      </c>
      <c r="AG33" t="b">
        <v>0</v>
      </c>
      <c r="AH33" t="b">
        <v>0</v>
      </c>
      <c r="AI33" t="b">
        <v>0</v>
      </c>
      <c r="AJ33" t="b">
        <v>0</v>
      </c>
      <c r="AK33" t="b">
        <v>0</v>
      </c>
      <c r="AL33" t="b">
        <v>0</v>
      </c>
    </row>
    <row r="34" spans="1:38" x14ac:dyDescent="0.25">
      <c r="A34" t="s">
        <v>412</v>
      </c>
      <c r="B34" t="s">
        <v>182</v>
      </c>
      <c r="C34" t="s">
        <v>413</v>
      </c>
      <c r="D34" t="s">
        <v>226</v>
      </c>
      <c r="E34" t="s">
        <v>242</v>
      </c>
      <c r="F34" t="s">
        <v>249</v>
      </c>
      <c r="G34" t="s">
        <v>214</v>
      </c>
      <c r="H34" t="s">
        <v>414</v>
      </c>
      <c r="I34" t="s">
        <v>415</v>
      </c>
      <c r="J34" t="s">
        <v>414</v>
      </c>
      <c r="K34" t="s">
        <v>214</v>
      </c>
      <c r="L34" t="s">
        <v>414</v>
      </c>
      <c r="M34" t="s">
        <v>416</v>
      </c>
      <c r="N34" t="s">
        <v>216</v>
      </c>
      <c r="O34" t="s">
        <v>215</v>
      </c>
      <c r="P34" t="s">
        <v>216</v>
      </c>
      <c r="Q34" t="s">
        <v>215</v>
      </c>
      <c r="R34" t="s">
        <v>258</v>
      </c>
      <c r="S34" t="s">
        <v>215</v>
      </c>
      <c r="T34" t="s">
        <v>259</v>
      </c>
      <c r="U34" t="s">
        <v>215</v>
      </c>
      <c r="V34" t="s">
        <v>216</v>
      </c>
      <c r="W34" t="s">
        <v>215</v>
      </c>
      <c r="X34" t="s">
        <v>216</v>
      </c>
      <c r="Y34" t="s">
        <v>215</v>
      </c>
      <c r="Z34" t="s">
        <v>216</v>
      </c>
      <c r="AA34" t="s">
        <v>215</v>
      </c>
      <c r="AB34" t="s">
        <v>216</v>
      </c>
      <c r="AC34" t="s">
        <v>215</v>
      </c>
      <c r="AD34" t="s">
        <v>260</v>
      </c>
      <c r="AE34" t="s">
        <v>215</v>
      </c>
      <c r="AF34" t="b">
        <v>1</v>
      </c>
      <c r="AG34" t="b">
        <v>0</v>
      </c>
      <c r="AH34" t="b">
        <v>0</v>
      </c>
      <c r="AI34" t="b">
        <v>0</v>
      </c>
      <c r="AJ34" t="b">
        <v>0</v>
      </c>
      <c r="AK34" t="b">
        <v>0</v>
      </c>
      <c r="AL34" t="b">
        <v>0</v>
      </c>
    </row>
    <row r="35" spans="1:38" x14ac:dyDescent="0.25">
      <c r="A35" t="s">
        <v>421</v>
      </c>
      <c r="B35" t="s">
        <v>182</v>
      </c>
      <c r="C35" t="s">
        <v>413</v>
      </c>
      <c r="D35" t="s">
        <v>226</v>
      </c>
      <c r="E35" t="s">
        <v>227</v>
      </c>
      <c r="F35" t="s">
        <v>418</v>
      </c>
      <c r="G35" t="s">
        <v>214</v>
      </c>
      <c r="H35" t="s">
        <v>425</v>
      </c>
      <c r="I35" t="s">
        <v>426</v>
      </c>
      <c r="J35" t="s">
        <v>425</v>
      </c>
      <c r="K35" t="s">
        <v>214</v>
      </c>
      <c r="L35" t="s">
        <v>425</v>
      </c>
      <c r="M35" t="s">
        <v>427</v>
      </c>
      <c r="N35" t="s">
        <v>216</v>
      </c>
      <c r="O35" t="s">
        <v>215</v>
      </c>
      <c r="P35" t="s">
        <v>216</v>
      </c>
      <c r="Q35" t="s">
        <v>215</v>
      </c>
      <c r="R35" t="s">
        <v>422</v>
      </c>
      <c r="S35" t="s">
        <v>215</v>
      </c>
      <c r="T35" t="s">
        <v>423</v>
      </c>
      <c r="U35" t="s">
        <v>215</v>
      </c>
      <c r="V35" t="s">
        <v>216</v>
      </c>
      <c r="W35" t="s">
        <v>215</v>
      </c>
      <c r="X35" t="s">
        <v>216</v>
      </c>
      <c r="Y35" t="s">
        <v>215</v>
      </c>
      <c r="Z35" t="s">
        <v>216</v>
      </c>
      <c r="AA35" t="s">
        <v>215</v>
      </c>
      <c r="AB35" t="s">
        <v>216</v>
      </c>
      <c r="AC35" t="s">
        <v>215</v>
      </c>
      <c r="AD35" t="s">
        <v>424</v>
      </c>
      <c r="AE35" t="s">
        <v>215</v>
      </c>
      <c r="AF35" t="b">
        <v>1</v>
      </c>
      <c r="AG35" t="b">
        <v>0</v>
      </c>
      <c r="AH35" t="b">
        <v>0</v>
      </c>
      <c r="AI35" t="b">
        <v>0</v>
      </c>
      <c r="AJ35" t="b">
        <v>0</v>
      </c>
      <c r="AK35" t="b">
        <v>0</v>
      </c>
      <c r="AL35" t="b">
        <v>0</v>
      </c>
    </row>
    <row r="36" spans="1:38" x14ac:dyDescent="0.25">
      <c r="A36" t="s">
        <v>428</v>
      </c>
      <c r="B36" t="s">
        <v>182</v>
      </c>
      <c r="C36" t="s">
        <v>413</v>
      </c>
      <c r="D36" t="s">
        <v>226</v>
      </c>
      <c r="E36" t="s">
        <v>227</v>
      </c>
      <c r="F36" t="s">
        <v>219</v>
      </c>
      <c r="G36" t="s">
        <v>214</v>
      </c>
      <c r="H36" t="s">
        <v>429</v>
      </c>
      <c r="I36" t="s">
        <v>430</v>
      </c>
      <c r="J36" t="s">
        <v>429</v>
      </c>
      <c r="K36" t="s">
        <v>214</v>
      </c>
      <c r="L36" t="s">
        <v>429</v>
      </c>
      <c r="M36" t="s">
        <v>431</v>
      </c>
      <c r="N36" t="s">
        <v>216</v>
      </c>
      <c r="O36" t="s">
        <v>215</v>
      </c>
      <c r="P36" t="s">
        <v>216</v>
      </c>
      <c r="Q36" t="s">
        <v>215</v>
      </c>
      <c r="R36" t="s">
        <v>432</v>
      </c>
      <c r="S36" t="s">
        <v>215</v>
      </c>
      <c r="T36" t="s">
        <v>433</v>
      </c>
      <c r="U36" t="s">
        <v>215</v>
      </c>
      <c r="V36" t="s">
        <v>216</v>
      </c>
      <c r="W36" t="s">
        <v>215</v>
      </c>
      <c r="X36" t="s">
        <v>216</v>
      </c>
      <c r="Y36" t="s">
        <v>215</v>
      </c>
      <c r="Z36" t="s">
        <v>216</v>
      </c>
      <c r="AA36" t="s">
        <v>215</v>
      </c>
      <c r="AB36" t="s">
        <v>216</v>
      </c>
      <c r="AC36" t="s">
        <v>215</v>
      </c>
      <c r="AD36" t="s">
        <v>434</v>
      </c>
      <c r="AE36" t="s">
        <v>215</v>
      </c>
      <c r="AF36" t="b">
        <v>1</v>
      </c>
      <c r="AG36" t="b">
        <v>0</v>
      </c>
      <c r="AH36" t="b">
        <v>0</v>
      </c>
      <c r="AI36" t="b">
        <v>0</v>
      </c>
      <c r="AJ36" t="b">
        <v>0</v>
      </c>
      <c r="AK36" t="b">
        <v>0</v>
      </c>
      <c r="AL36" t="b">
        <v>0</v>
      </c>
    </row>
    <row r="37" spans="1:38" x14ac:dyDescent="0.25">
      <c r="A37" t="s">
        <v>435</v>
      </c>
      <c r="B37" t="s">
        <v>182</v>
      </c>
      <c r="C37" t="s">
        <v>441</v>
      </c>
      <c r="D37" t="s">
        <v>226</v>
      </c>
      <c r="E37" t="s">
        <v>227</v>
      </c>
      <c r="F37" t="s">
        <v>437</v>
      </c>
      <c r="G37" t="s">
        <v>214</v>
      </c>
      <c r="H37" t="s">
        <v>410</v>
      </c>
      <c r="I37" t="s">
        <v>445</v>
      </c>
      <c r="J37" t="s">
        <v>410</v>
      </c>
      <c r="K37" t="s">
        <v>214</v>
      </c>
      <c r="L37" t="s">
        <v>410</v>
      </c>
      <c r="M37" t="s">
        <v>446</v>
      </c>
      <c r="N37" t="s">
        <v>216</v>
      </c>
      <c r="O37" t="s">
        <v>215</v>
      </c>
      <c r="P37" t="s">
        <v>216</v>
      </c>
      <c r="Q37" t="s">
        <v>215</v>
      </c>
      <c r="R37" t="s">
        <v>442</v>
      </c>
      <c r="S37" t="s">
        <v>215</v>
      </c>
      <c r="T37" t="s">
        <v>443</v>
      </c>
      <c r="U37" t="s">
        <v>215</v>
      </c>
      <c r="V37" t="s">
        <v>216</v>
      </c>
      <c r="W37" t="s">
        <v>215</v>
      </c>
      <c r="X37" t="s">
        <v>216</v>
      </c>
      <c r="Y37" t="s">
        <v>215</v>
      </c>
      <c r="Z37" t="s">
        <v>216</v>
      </c>
      <c r="AA37" t="s">
        <v>215</v>
      </c>
      <c r="AB37" t="s">
        <v>216</v>
      </c>
      <c r="AC37" t="s">
        <v>215</v>
      </c>
      <c r="AD37" t="s">
        <v>444</v>
      </c>
      <c r="AE37" t="s">
        <v>215</v>
      </c>
      <c r="AF37" t="b">
        <v>1</v>
      </c>
      <c r="AG37" t="b">
        <v>0</v>
      </c>
      <c r="AH37" t="b">
        <v>0</v>
      </c>
      <c r="AI37" t="b">
        <v>0</v>
      </c>
      <c r="AJ37" t="b">
        <v>0</v>
      </c>
      <c r="AK37" t="b">
        <v>0</v>
      </c>
      <c r="AL37" t="b">
        <v>0</v>
      </c>
    </row>
    <row r="38" spans="1:38" x14ac:dyDescent="0.25">
      <c r="A38" t="s">
        <v>450</v>
      </c>
      <c r="B38" t="s">
        <v>182</v>
      </c>
      <c r="C38" t="s">
        <v>451</v>
      </c>
      <c r="D38" t="s">
        <v>226</v>
      </c>
      <c r="E38" t="s">
        <v>399</v>
      </c>
      <c r="F38" t="s">
        <v>325</v>
      </c>
      <c r="G38" t="s">
        <v>214</v>
      </c>
      <c r="H38" t="s">
        <v>455</v>
      </c>
      <c r="I38" t="s">
        <v>454</v>
      </c>
      <c r="J38" t="s">
        <v>455</v>
      </c>
      <c r="K38" t="s">
        <v>214</v>
      </c>
      <c r="L38" t="s">
        <v>455</v>
      </c>
      <c r="M38" t="s">
        <v>453</v>
      </c>
      <c r="N38" t="s">
        <v>216</v>
      </c>
      <c r="O38" t="s">
        <v>215</v>
      </c>
      <c r="P38" t="s">
        <v>216</v>
      </c>
      <c r="Q38" t="s">
        <v>215</v>
      </c>
      <c r="R38" t="s">
        <v>452</v>
      </c>
      <c r="S38" t="s">
        <v>215</v>
      </c>
      <c r="T38" t="s">
        <v>216</v>
      </c>
      <c r="U38" t="s">
        <v>215</v>
      </c>
      <c r="V38" t="s">
        <v>216</v>
      </c>
      <c r="W38" t="s">
        <v>215</v>
      </c>
      <c r="X38" t="s">
        <v>216</v>
      </c>
      <c r="Y38" t="s">
        <v>215</v>
      </c>
      <c r="Z38" t="s">
        <v>216</v>
      </c>
      <c r="AA38" t="s">
        <v>215</v>
      </c>
      <c r="AB38" t="s">
        <v>216</v>
      </c>
      <c r="AC38" t="s">
        <v>215</v>
      </c>
      <c r="AD38" t="s">
        <v>452</v>
      </c>
      <c r="AE38" t="s">
        <v>215</v>
      </c>
      <c r="AF38" t="b">
        <v>1</v>
      </c>
      <c r="AG38" t="b">
        <v>0</v>
      </c>
      <c r="AH38" t="b">
        <v>0</v>
      </c>
      <c r="AI38" t="b">
        <v>0</v>
      </c>
      <c r="AJ38" t="b">
        <v>0</v>
      </c>
      <c r="AK38" t="b">
        <v>0</v>
      </c>
      <c r="AL38" t="b">
        <v>0</v>
      </c>
    </row>
    <row r="39" spans="1:38" x14ac:dyDescent="0.25">
      <c r="A39" t="s">
        <v>456</v>
      </c>
      <c r="B39" t="s">
        <v>182</v>
      </c>
      <c r="C39" t="s">
        <v>451</v>
      </c>
      <c r="D39" t="s">
        <v>226</v>
      </c>
      <c r="E39" t="s">
        <v>242</v>
      </c>
      <c r="F39" t="s">
        <v>325</v>
      </c>
      <c r="G39" t="s">
        <v>214</v>
      </c>
      <c r="H39" t="s">
        <v>455</v>
      </c>
      <c r="I39" t="s">
        <v>457</v>
      </c>
      <c r="J39" t="s">
        <v>455</v>
      </c>
      <c r="K39" t="s">
        <v>214</v>
      </c>
      <c r="L39" t="s">
        <v>455</v>
      </c>
      <c r="M39" t="s">
        <v>453</v>
      </c>
      <c r="N39" t="s">
        <v>216</v>
      </c>
      <c r="O39" t="s">
        <v>215</v>
      </c>
      <c r="P39" t="s">
        <v>216</v>
      </c>
      <c r="Q39" t="s">
        <v>215</v>
      </c>
      <c r="R39" t="s">
        <v>458</v>
      </c>
      <c r="S39" t="s">
        <v>215</v>
      </c>
      <c r="T39" t="s">
        <v>216</v>
      </c>
      <c r="U39" t="s">
        <v>215</v>
      </c>
      <c r="V39" t="s">
        <v>216</v>
      </c>
      <c r="W39" t="s">
        <v>215</v>
      </c>
      <c r="X39" t="s">
        <v>216</v>
      </c>
      <c r="Y39" t="s">
        <v>215</v>
      </c>
      <c r="Z39" t="s">
        <v>216</v>
      </c>
      <c r="AA39" t="s">
        <v>215</v>
      </c>
      <c r="AB39" t="s">
        <v>216</v>
      </c>
      <c r="AC39" t="s">
        <v>215</v>
      </c>
      <c r="AD39" t="s">
        <v>458</v>
      </c>
      <c r="AE39" t="s">
        <v>215</v>
      </c>
      <c r="AF39" t="b">
        <v>1</v>
      </c>
      <c r="AG39" t="b">
        <v>0</v>
      </c>
      <c r="AH39" t="b">
        <v>0</v>
      </c>
      <c r="AI39" t="b">
        <v>0</v>
      </c>
      <c r="AJ39" t="b">
        <v>0</v>
      </c>
      <c r="AK39" t="b">
        <v>0</v>
      </c>
      <c r="AL39" t="b">
        <v>0</v>
      </c>
    </row>
    <row r="40" spans="1:38" s="80" customFormat="1" x14ac:dyDescent="0.25">
      <c r="A40" s="80" t="s">
        <v>459</v>
      </c>
      <c r="B40" s="81" t="s">
        <v>182</v>
      </c>
      <c r="C40" s="82">
        <v>43703</v>
      </c>
      <c r="D40" s="80" t="s">
        <v>226</v>
      </c>
      <c r="E40" s="80" t="s">
        <v>268</v>
      </c>
      <c r="F40" s="80" t="s">
        <v>325</v>
      </c>
      <c r="G40" s="80" t="s">
        <v>214</v>
      </c>
      <c r="H40" s="82">
        <v>43646</v>
      </c>
      <c r="I40" s="84" t="s">
        <v>475</v>
      </c>
      <c r="J40" s="82">
        <v>43646</v>
      </c>
      <c r="K40" s="80" t="s">
        <v>214</v>
      </c>
      <c r="L40" s="82">
        <v>43646</v>
      </c>
      <c r="M40" s="82">
        <v>43706</v>
      </c>
      <c r="N40" s="80">
        <v>0</v>
      </c>
      <c r="O40" s="83" t="s">
        <v>215</v>
      </c>
      <c r="P40" s="80">
        <v>0</v>
      </c>
      <c r="Q40" s="83" t="s">
        <v>215</v>
      </c>
      <c r="R40" s="80" t="s">
        <v>460</v>
      </c>
      <c r="S40" s="83" t="s">
        <v>215</v>
      </c>
      <c r="T40" s="80" t="s">
        <v>216</v>
      </c>
      <c r="U40" s="83" t="s">
        <v>215</v>
      </c>
      <c r="V40" s="80">
        <v>0</v>
      </c>
      <c r="W40" s="83" t="s">
        <v>215</v>
      </c>
      <c r="X40" s="80">
        <v>0</v>
      </c>
      <c r="Y40" s="83" t="s">
        <v>215</v>
      </c>
      <c r="Z40" s="80">
        <v>0</v>
      </c>
      <c r="AA40" s="83" t="s">
        <v>215</v>
      </c>
      <c r="AB40" s="80">
        <v>0</v>
      </c>
      <c r="AC40" s="83" t="s">
        <v>215</v>
      </c>
      <c r="AD40" s="80" t="s">
        <v>460</v>
      </c>
      <c r="AE40" s="80" t="s">
        <v>215</v>
      </c>
      <c r="AF40" s="80" t="b">
        <v>1</v>
      </c>
      <c r="AG40" s="80" t="b">
        <v>0</v>
      </c>
      <c r="AH40" s="80" t="b">
        <v>0</v>
      </c>
      <c r="AI40" s="80" t="b">
        <v>0</v>
      </c>
      <c r="AJ40" s="80" t="b">
        <v>0</v>
      </c>
      <c r="AK40" s="80" t="b">
        <v>0</v>
      </c>
      <c r="AL40" s="80" t="b">
        <v>0</v>
      </c>
    </row>
    <row r="41" spans="1:38" x14ac:dyDescent="0.25">
      <c r="A41" t="s">
        <v>461</v>
      </c>
      <c r="B41" t="s">
        <v>182</v>
      </c>
      <c r="C41" t="s">
        <v>451</v>
      </c>
      <c r="D41" t="s">
        <v>226</v>
      </c>
      <c r="E41" t="s">
        <v>242</v>
      </c>
      <c r="F41" t="s">
        <v>448</v>
      </c>
      <c r="G41" t="s">
        <v>214</v>
      </c>
      <c r="H41" t="s">
        <v>466</v>
      </c>
      <c r="I41" t="s">
        <v>465</v>
      </c>
      <c r="J41" t="s">
        <v>466</v>
      </c>
      <c r="K41" t="s">
        <v>214</v>
      </c>
      <c r="L41" t="s">
        <v>466</v>
      </c>
      <c r="M41" t="s">
        <v>467</v>
      </c>
      <c r="N41" t="s">
        <v>216</v>
      </c>
      <c r="O41" t="s">
        <v>215</v>
      </c>
      <c r="P41" t="s">
        <v>216</v>
      </c>
      <c r="Q41" t="s">
        <v>215</v>
      </c>
      <c r="R41" t="s">
        <v>462</v>
      </c>
      <c r="S41" t="s">
        <v>215</v>
      </c>
      <c r="T41" t="s">
        <v>463</v>
      </c>
      <c r="U41" t="s">
        <v>215</v>
      </c>
      <c r="V41" t="s">
        <v>216</v>
      </c>
      <c r="W41" t="s">
        <v>215</v>
      </c>
      <c r="X41" t="s">
        <v>216</v>
      </c>
      <c r="Y41" t="s">
        <v>215</v>
      </c>
      <c r="Z41" t="s">
        <v>216</v>
      </c>
      <c r="AA41" t="s">
        <v>215</v>
      </c>
      <c r="AB41" t="s">
        <v>216</v>
      </c>
      <c r="AC41" t="s">
        <v>215</v>
      </c>
      <c r="AD41" t="s">
        <v>464</v>
      </c>
      <c r="AE41" t="s">
        <v>215</v>
      </c>
      <c r="AF41" t="b">
        <v>1</v>
      </c>
      <c r="AG41" t="b">
        <v>0</v>
      </c>
      <c r="AH41" t="b">
        <v>0</v>
      </c>
      <c r="AI41" t="b">
        <v>0</v>
      </c>
      <c r="AJ41" t="b">
        <v>0</v>
      </c>
      <c r="AK41" t="b">
        <v>0</v>
      </c>
      <c r="AL41" t="b">
        <v>0</v>
      </c>
    </row>
    <row r="42" spans="1:38" x14ac:dyDescent="0.25">
      <c r="A42" t="s">
        <v>468</v>
      </c>
      <c r="B42" t="s">
        <v>182</v>
      </c>
      <c r="C42" t="s">
        <v>451</v>
      </c>
      <c r="D42" t="s">
        <v>226</v>
      </c>
      <c r="E42" t="s">
        <v>242</v>
      </c>
      <c r="F42" t="s">
        <v>448</v>
      </c>
      <c r="G42" t="s">
        <v>214</v>
      </c>
      <c r="H42" t="s">
        <v>473</v>
      </c>
      <c r="I42" t="s">
        <v>472</v>
      </c>
      <c r="J42" t="s">
        <v>473</v>
      </c>
      <c r="K42" t="s">
        <v>214</v>
      </c>
      <c r="L42" t="s">
        <v>473</v>
      </c>
      <c r="M42" t="s">
        <v>474</v>
      </c>
      <c r="N42" t="s">
        <v>216</v>
      </c>
      <c r="O42" t="s">
        <v>215</v>
      </c>
      <c r="P42" t="s">
        <v>216</v>
      </c>
      <c r="Q42" t="s">
        <v>215</v>
      </c>
      <c r="R42" t="s">
        <v>469</v>
      </c>
      <c r="S42" t="s">
        <v>215</v>
      </c>
      <c r="T42" t="s">
        <v>470</v>
      </c>
      <c r="U42" t="s">
        <v>215</v>
      </c>
      <c r="V42" t="s">
        <v>216</v>
      </c>
      <c r="W42" t="s">
        <v>215</v>
      </c>
      <c r="X42" t="s">
        <v>216</v>
      </c>
      <c r="Y42" t="s">
        <v>215</v>
      </c>
      <c r="Z42" t="s">
        <v>216</v>
      </c>
      <c r="AA42" t="s">
        <v>215</v>
      </c>
      <c r="AB42" t="s">
        <v>216</v>
      </c>
      <c r="AC42" t="s">
        <v>215</v>
      </c>
      <c r="AD42" t="s">
        <v>471</v>
      </c>
      <c r="AE42" t="s">
        <v>215</v>
      </c>
      <c r="AF42" t="b">
        <v>1</v>
      </c>
      <c r="AG42" t="b">
        <v>0</v>
      </c>
      <c r="AH42" t="b">
        <v>0</v>
      </c>
      <c r="AI42" t="b">
        <v>0</v>
      </c>
      <c r="AJ42" t="b">
        <v>0</v>
      </c>
      <c r="AK42" t="b">
        <v>0</v>
      </c>
      <c r="AL42" t="b">
        <v>0</v>
      </c>
    </row>
    <row r="43" spans="1:38" x14ac:dyDescent="0.25">
      <c r="A43" t="s">
        <v>476</v>
      </c>
      <c r="B43" t="s">
        <v>182</v>
      </c>
      <c r="C43" t="s">
        <v>453</v>
      </c>
      <c r="D43" t="s">
        <v>226</v>
      </c>
      <c r="E43" t="s">
        <v>227</v>
      </c>
      <c r="F43" t="s">
        <v>478</v>
      </c>
      <c r="G43" t="s">
        <v>214</v>
      </c>
      <c r="H43" t="s">
        <v>483</v>
      </c>
      <c r="I43" t="s">
        <v>482</v>
      </c>
      <c r="J43" t="s">
        <v>483</v>
      </c>
      <c r="K43" t="s">
        <v>214</v>
      </c>
      <c r="L43" t="s">
        <v>483</v>
      </c>
      <c r="M43" t="s">
        <v>427</v>
      </c>
      <c r="N43" t="s">
        <v>216</v>
      </c>
      <c r="O43" t="s">
        <v>215</v>
      </c>
      <c r="P43" t="s">
        <v>216</v>
      </c>
      <c r="Q43" t="s">
        <v>215</v>
      </c>
      <c r="R43" t="s">
        <v>484</v>
      </c>
      <c r="S43" t="s">
        <v>215</v>
      </c>
      <c r="T43" t="s">
        <v>485</v>
      </c>
      <c r="U43" t="s">
        <v>215</v>
      </c>
      <c r="V43" t="s">
        <v>216</v>
      </c>
      <c r="W43" t="s">
        <v>215</v>
      </c>
      <c r="X43" t="s">
        <v>216</v>
      </c>
      <c r="Y43" t="s">
        <v>215</v>
      </c>
      <c r="Z43" t="s">
        <v>216</v>
      </c>
      <c r="AA43" t="s">
        <v>215</v>
      </c>
      <c r="AB43" t="s">
        <v>216</v>
      </c>
      <c r="AC43" t="s">
        <v>215</v>
      </c>
      <c r="AD43" t="s">
        <v>486</v>
      </c>
      <c r="AE43" t="s">
        <v>215</v>
      </c>
      <c r="AF43" t="b">
        <v>1</v>
      </c>
      <c r="AG43" t="b">
        <v>0</v>
      </c>
      <c r="AH43" t="b">
        <v>0</v>
      </c>
      <c r="AI43" t="b">
        <v>0</v>
      </c>
      <c r="AJ43" t="b">
        <v>0</v>
      </c>
      <c r="AK43" t="b">
        <v>0</v>
      </c>
      <c r="AL43" t="b">
        <v>0</v>
      </c>
    </row>
    <row r="44" spans="1:38" x14ac:dyDescent="0.25">
      <c r="A44" t="s">
        <v>487</v>
      </c>
      <c r="B44" t="s">
        <v>182</v>
      </c>
      <c r="C44" t="s">
        <v>488</v>
      </c>
      <c r="D44" t="s">
        <v>226</v>
      </c>
      <c r="E44" t="s">
        <v>227</v>
      </c>
      <c r="F44" t="s">
        <v>448</v>
      </c>
      <c r="G44" t="s">
        <v>214</v>
      </c>
      <c r="H44" t="s">
        <v>387</v>
      </c>
      <c r="I44" t="s">
        <v>492</v>
      </c>
      <c r="J44" t="s">
        <v>387</v>
      </c>
      <c r="K44" t="s">
        <v>214</v>
      </c>
      <c r="L44" t="s">
        <v>387</v>
      </c>
      <c r="M44" t="s">
        <v>441</v>
      </c>
      <c r="N44" t="s">
        <v>216</v>
      </c>
      <c r="O44" t="s">
        <v>215</v>
      </c>
      <c r="P44" t="s">
        <v>216</v>
      </c>
      <c r="Q44" t="s">
        <v>215</v>
      </c>
      <c r="R44" t="s">
        <v>489</v>
      </c>
      <c r="S44" t="s">
        <v>215</v>
      </c>
      <c r="T44" t="s">
        <v>490</v>
      </c>
      <c r="U44" t="s">
        <v>215</v>
      </c>
      <c r="V44" t="s">
        <v>216</v>
      </c>
      <c r="W44" t="s">
        <v>215</v>
      </c>
      <c r="X44" t="s">
        <v>216</v>
      </c>
      <c r="Y44" t="s">
        <v>215</v>
      </c>
      <c r="Z44" t="s">
        <v>216</v>
      </c>
      <c r="AA44" t="s">
        <v>215</v>
      </c>
      <c r="AB44" t="s">
        <v>216</v>
      </c>
      <c r="AC44" t="s">
        <v>215</v>
      </c>
      <c r="AD44" t="s">
        <v>491</v>
      </c>
      <c r="AE44" t="s">
        <v>215</v>
      </c>
      <c r="AF44" t="b">
        <v>1</v>
      </c>
      <c r="AG44" t="b">
        <v>0</v>
      </c>
      <c r="AH44" t="b">
        <v>0</v>
      </c>
      <c r="AI44" t="b">
        <v>0</v>
      </c>
      <c r="AJ44" t="b">
        <v>0</v>
      </c>
      <c r="AK44" t="b">
        <v>0</v>
      </c>
      <c r="AL44" t="b">
        <v>0</v>
      </c>
    </row>
    <row r="45" spans="1:38" s="80" customFormat="1" x14ac:dyDescent="0.25">
      <c r="A45" s="80" t="s">
        <v>493</v>
      </c>
      <c r="B45" s="81" t="s">
        <v>182</v>
      </c>
      <c r="C45" s="82">
        <v>43717</v>
      </c>
      <c r="D45" s="80" t="s">
        <v>226</v>
      </c>
      <c r="E45" s="80" t="s">
        <v>242</v>
      </c>
      <c r="F45" s="80" t="s">
        <v>235</v>
      </c>
      <c r="G45" s="80" t="s">
        <v>214</v>
      </c>
      <c r="H45" s="82">
        <v>43708</v>
      </c>
      <c r="I45" s="85" t="s">
        <v>494</v>
      </c>
      <c r="J45" s="82">
        <v>43708</v>
      </c>
      <c r="K45" s="80" t="s">
        <v>214</v>
      </c>
      <c r="L45" s="82">
        <v>43708</v>
      </c>
      <c r="M45" s="82">
        <v>43723</v>
      </c>
      <c r="N45" s="80">
        <v>0</v>
      </c>
      <c r="O45" s="83" t="s">
        <v>215</v>
      </c>
      <c r="P45" s="80">
        <v>0</v>
      </c>
      <c r="Q45" s="83" t="s">
        <v>215</v>
      </c>
      <c r="R45" s="80" t="s">
        <v>495</v>
      </c>
      <c r="S45" s="83" t="s">
        <v>215</v>
      </c>
      <c r="T45" s="80" t="s">
        <v>496</v>
      </c>
      <c r="U45" s="83" t="s">
        <v>215</v>
      </c>
      <c r="V45" s="80">
        <v>0</v>
      </c>
      <c r="W45" s="83" t="s">
        <v>215</v>
      </c>
      <c r="X45" s="80">
        <v>0</v>
      </c>
      <c r="Y45" s="83" t="s">
        <v>215</v>
      </c>
      <c r="Z45" s="80">
        <v>0</v>
      </c>
      <c r="AA45" s="83" t="s">
        <v>215</v>
      </c>
      <c r="AB45" s="80">
        <v>0</v>
      </c>
      <c r="AC45" s="83" t="s">
        <v>215</v>
      </c>
      <c r="AD45" s="80" t="s">
        <v>497</v>
      </c>
      <c r="AE45" s="80" t="s">
        <v>215</v>
      </c>
      <c r="AF45" s="80" t="b">
        <v>1</v>
      </c>
      <c r="AG45" s="80" t="b">
        <v>0</v>
      </c>
      <c r="AH45" s="80" t="b">
        <v>0</v>
      </c>
      <c r="AI45" s="80" t="b">
        <v>0</v>
      </c>
      <c r="AJ45" s="80" t="b">
        <v>0</v>
      </c>
      <c r="AK45" s="80" t="b">
        <v>0</v>
      </c>
      <c r="AL45" s="80" t="b">
        <v>0</v>
      </c>
    </row>
    <row r="46" spans="1:38" s="80" customFormat="1" x14ac:dyDescent="0.25">
      <c r="A46" s="80" t="s">
        <v>498</v>
      </c>
      <c r="B46" s="81" t="s">
        <v>182</v>
      </c>
      <c r="C46" s="82">
        <v>43715</v>
      </c>
      <c r="D46" s="80" t="s">
        <v>226</v>
      </c>
      <c r="E46" s="80" t="s">
        <v>227</v>
      </c>
      <c r="F46" s="80" t="s">
        <v>262</v>
      </c>
      <c r="G46" s="80" t="s">
        <v>214</v>
      </c>
      <c r="H46" s="82">
        <v>43663</v>
      </c>
      <c r="I46" s="84" t="s">
        <v>503</v>
      </c>
      <c r="J46" s="82">
        <v>43663</v>
      </c>
      <c r="K46" s="80" t="s">
        <v>214</v>
      </c>
      <c r="L46" s="82">
        <v>43663</v>
      </c>
      <c r="M46" s="82">
        <v>43676</v>
      </c>
      <c r="N46" s="80">
        <v>0</v>
      </c>
      <c r="O46" s="83" t="s">
        <v>215</v>
      </c>
      <c r="P46" s="80">
        <v>0</v>
      </c>
      <c r="Q46" s="83" t="s">
        <v>215</v>
      </c>
      <c r="R46" s="80" t="s">
        <v>499</v>
      </c>
      <c r="S46" s="83" t="s">
        <v>215</v>
      </c>
      <c r="T46" s="80" t="s">
        <v>500</v>
      </c>
      <c r="U46" s="83" t="s">
        <v>215</v>
      </c>
      <c r="V46" s="80">
        <v>0</v>
      </c>
      <c r="W46" s="83" t="s">
        <v>215</v>
      </c>
      <c r="X46" s="80">
        <v>0</v>
      </c>
      <c r="Y46" s="83" t="s">
        <v>215</v>
      </c>
      <c r="Z46" s="80">
        <v>0</v>
      </c>
      <c r="AA46" s="83" t="s">
        <v>215</v>
      </c>
      <c r="AB46" s="80">
        <v>0</v>
      </c>
      <c r="AC46" s="83" t="s">
        <v>215</v>
      </c>
      <c r="AD46" s="80" t="s">
        <v>501</v>
      </c>
      <c r="AE46" s="80" t="s">
        <v>215</v>
      </c>
      <c r="AF46" s="80" t="b">
        <v>1</v>
      </c>
      <c r="AG46" s="80" t="b">
        <v>0</v>
      </c>
      <c r="AH46" s="80" t="b">
        <v>0</v>
      </c>
      <c r="AI46" s="80" t="b">
        <v>0</v>
      </c>
      <c r="AJ46" s="80" t="b">
        <v>0</v>
      </c>
      <c r="AK46" s="80" t="b">
        <v>0</v>
      </c>
      <c r="AL46" s="80" t="b">
        <v>0</v>
      </c>
    </row>
    <row r="47" spans="1:38" x14ac:dyDescent="0.25">
      <c r="A47" t="s">
        <v>502</v>
      </c>
      <c r="B47" t="s">
        <v>182</v>
      </c>
      <c r="C47" t="s">
        <v>488</v>
      </c>
      <c r="D47" t="s">
        <v>226</v>
      </c>
      <c r="E47" t="s">
        <v>227</v>
      </c>
      <c r="F47" t="s">
        <v>262</v>
      </c>
      <c r="G47" t="s">
        <v>214</v>
      </c>
      <c r="H47" t="s">
        <v>508</v>
      </c>
      <c r="I47" t="s">
        <v>507</v>
      </c>
      <c r="J47" t="s">
        <v>508</v>
      </c>
      <c r="K47" t="s">
        <v>214</v>
      </c>
      <c r="L47" t="s">
        <v>508</v>
      </c>
      <c r="M47" t="s">
        <v>508</v>
      </c>
      <c r="N47" t="s">
        <v>216</v>
      </c>
      <c r="O47" t="s">
        <v>215</v>
      </c>
      <c r="P47" t="s">
        <v>216</v>
      </c>
      <c r="Q47" t="s">
        <v>215</v>
      </c>
      <c r="R47" t="s">
        <v>504</v>
      </c>
      <c r="S47" t="s">
        <v>215</v>
      </c>
      <c r="T47" t="s">
        <v>505</v>
      </c>
      <c r="U47" t="s">
        <v>215</v>
      </c>
      <c r="V47" t="s">
        <v>216</v>
      </c>
      <c r="W47" t="s">
        <v>215</v>
      </c>
      <c r="X47" t="s">
        <v>216</v>
      </c>
      <c r="Y47" t="s">
        <v>215</v>
      </c>
      <c r="Z47" t="s">
        <v>216</v>
      </c>
      <c r="AA47" t="s">
        <v>215</v>
      </c>
      <c r="AB47" t="s">
        <v>216</v>
      </c>
      <c r="AC47" t="s">
        <v>215</v>
      </c>
      <c r="AD47" t="s">
        <v>506</v>
      </c>
      <c r="AE47" t="s">
        <v>215</v>
      </c>
      <c r="AF47" t="b">
        <v>1</v>
      </c>
      <c r="AG47" t="b">
        <v>0</v>
      </c>
      <c r="AH47" t="b">
        <v>0</v>
      </c>
      <c r="AI47" t="b">
        <v>0</v>
      </c>
      <c r="AJ47" t="b">
        <v>0</v>
      </c>
      <c r="AK47" t="b">
        <v>0</v>
      </c>
      <c r="AL47" t="b">
        <v>0</v>
      </c>
    </row>
    <row r="48" spans="1:38" s="80" customFormat="1" x14ac:dyDescent="0.25">
      <c r="A48" s="80" t="s">
        <v>509</v>
      </c>
      <c r="B48" s="81" t="s">
        <v>182</v>
      </c>
      <c r="C48" s="82">
        <v>43727</v>
      </c>
      <c r="D48" s="80" t="s">
        <v>226</v>
      </c>
      <c r="E48" s="80" t="s">
        <v>242</v>
      </c>
      <c r="F48" s="80" t="s">
        <v>249</v>
      </c>
      <c r="G48" s="80" t="s">
        <v>214</v>
      </c>
      <c r="H48" s="82">
        <v>43711</v>
      </c>
      <c r="I48" s="85" t="s">
        <v>510</v>
      </c>
      <c r="J48" s="82">
        <v>43711</v>
      </c>
      <c r="K48" s="80" t="s">
        <v>214</v>
      </c>
      <c r="L48" s="82">
        <v>43711</v>
      </c>
      <c r="M48" s="82">
        <v>43726</v>
      </c>
      <c r="N48" s="80">
        <v>0</v>
      </c>
      <c r="O48" s="83" t="s">
        <v>215</v>
      </c>
      <c r="P48" s="80">
        <v>0</v>
      </c>
      <c r="Q48" s="83" t="s">
        <v>215</v>
      </c>
      <c r="R48" s="80" t="s">
        <v>258</v>
      </c>
      <c r="S48" s="83" t="s">
        <v>215</v>
      </c>
      <c r="T48" s="80" t="s">
        <v>259</v>
      </c>
      <c r="U48" s="83" t="s">
        <v>215</v>
      </c>
      <c r="V48" s="80">
        <v>0</v>
      </c>
      <c r="W48" s="83" t="s">
        <v>215</v>
      </c>
      <c r="X48" s="80">
        <v>0</v>
      </c>
      <c r="Y48" s="83" t="s">
        <v>215</v>
      </c>
      <c r="Z48" s="80">
        <v>0</v>
      </c>
      <c r="AA48" s="83" t="s">
        <v>215</v>
      </c>
      <c r="AB48" s="80">
        <v>0</v>
      </c>
      <c r="AC48" s="83" t="s">
        <v>215</v>
      </c>
      <c r="AD48" s="80" t="s">
        <v>260</v>
      </c>
      <c r="AE48" s="80" t="s">
        <v>215</v>
      </c>
      <c r="AF48" s="80" t="b">
        <v>1</v>
      </c>
      <c r="AG48" s="80" t="b">
        <v>0</v>
      </c>
      <c r="AH48" s="80" t="b">
        <v>0</v>
      </c>
      <c r="AI48" s="80" t="b">
        <v>0</v>
      </c>
      <c r="AJ48" s="80" t="b">
        <v>0</v>
      </c>
      <c r="AK48" s="80" t="b">
        <v>0</v>
      </c>
      <c r="AL48" s="80" t="b">
        <v>0</v>
      </c>
    </row>
    <row r="49" spans="1:38" x14ac:dyDescent="0.25">
      <c r="A49" t="s">
        <v>511</v>
      </c>
      <c r="B49" t="s">
        <v>182</v>
      </c>
      <c r="C49" t="s">
        <v>513</v>
      </c>
      <c r="D49" t="s">
        <v>226</v>
      </c>
      <c r="E49" t="s">
        <v>242</v>
      </c>
      <c r="F49" t="s">
        <v>348</v>
      </c>
      <c r="G49" t="s">
        <v>214</v>
      </c>
      <c r="H49" t="s">
        <v>392</v>
      </c>
      <c r="I49" t="s">
        <v>512</v>
      </c>
      <c r="J49" t="s">
        <v>392</v>
      </c>
      <c r="K49" t="s">
        <v>214</v>
      </c>
      <c r="L49" t="s">
        <v>392</v>
      </c>
      <c r="M49" t="s">
        <v>392</v>
      </c>
      <c r="N49" t="s">
        <v>216</v>
      </c>
      <c r="O49" t="s">
        <v>215</v>
      </c>
      <c r="P49" t="s">
        <v>216</v>
      </c>
      <c r="Q49" t="s">
        <v>215</v>
      </c>
      <c r="R49" t="s">
        <v>514</v>
      </c>
      <c r="S49" t="s">
        <v>215</v>
      </c>
      <c r="T49" t="s">
        <v>515</v>
      </c>
      <c r="U49" t="s">
        <v>215</v>
      </c>
      <c r="V49" t="s">
        <v>216</v>
      </c>
      <c r="W49" t="s">
        <v>215</v>
      </c>
      <c r="X49" t="s">
        <v>216</v>
      </c>
      <c r="Y49" t="s">
        <v>215</v>
      </c>
      <c r="Z49" t="s">
        <v>216</v>
      </c>
      <c r="AA49" t="s">
        <v>215</v>
      </c>
      <c r="AB49" t="s">
        <v>216</v>
      </c>
      <c r="AC49" t="s">
        <v>215</v>
      </c>
      <c r="AD49" t="s">
        <v>516</v>
      </c>
      <c r="AE49" t="s">
        <v>215</v>
      </c>
      <c r="AF49" t="b">
        <v>1</v>
      </c>
      <c r="AG49" t="b">
        <v>0</v>
      </c>
      <c r="AH49" t="b">
        <v>0</v>
      </c>
      <c r="AI49" t="b">
        <v>0</v>
      </c>
      <c r="AJ49" t="b">
        <v>0</v>
      </c>
      <c r="AK49" t="b">
        <v>0</v>
      </c>
      <c r="AL49" t="b">
        <v>0</v>
      </c>
    </row>
    <row r="50" spans="1:38" x14ac:dyDescent="0.25">
      <c r="A50" t="s">
        <v>523</v>
      </c>
      <c r="B50" t="s">
        <v>182</v>
      </c>
      <c r="C50" t="s">
        <v>530</v>
      </c>
      <c r="D50" t="s">
        <v>226</v>
      </c>
      <c r="E50" t="s">
        <v>268</v>
      </c>
      <c r="F50" t="s">
        <v>518</v>
      </c>
      <c r="G50" t="s">
        <v>214</v>
      </c>
      <c r="H50" t="s">
        <v>528</v>
      </c>
      <c r="I50" t="s">
        <v>527</v>
      </c>
      <c r="J50" t="s">
        <v>528</v>
      </c>
      <c r="K50" t="s">
        <v>214</v>
      </c>
      <c r="L50" t="s">
        <v>528</v>
      </c>
      <c r="M50" t="s">
        <v>529</v>
      </c>
      <c r="N50" t="s">
        <v>216</v>
      </c>
      <c r="O50" t="s">
        <v>215</v>
      </c>
      <c r="P50" t="s">
        <v>216</v>
      </c>
      <c r="Q50" t="s">
        <v>215</v>
      </c>
      <c r="R50" t="s">
        <v>524</v>
      </c>
      <c r="S50" t="s">
        <v>215</v>
      </c>
      <c r="T50" t="s">
        <v>525</v>
      </c>
      <c r="U50" t="s">
        <v>215</v>
      </c>
      <c r="V50" t="s">
        <v>216</v>
      </c>
      <c r="W50" t="s">
        <v>215</v>
      </c>
      <c r="X50" t="s">
        <v>216</v>
      </c>
      <c r="Y50" t="s">
        <v>215</v>
      </c>
      <c r="Z50" t="s">
        <v>216</v>
      </c>
      <c r="AA50" t="s">
        <v>215</v>
      </c>
      <c r="AB50" t="s">
        <v>216</v>
      </c>
      <c r="AC50" t="s">
        <v>215</v>
      </c>
      <c r="AD50" t="s">
        <v>526</v>
      </c>
      <c r="AE50" t="s">
        <v>215</v>
      </c>
      <c r="AF50" t="b">
        <v>1</v>
      </c>
      <c r="AG50" t="b">
        <v>0</v>
      </c>
      <c r="AH50" t="b">
        <v>0</v>
      </c>
      <c r="AI50" t="b">
        <v>0</v>
      </c>
      <c r="AJ50" t="b">
        <v>0</v>
      </c>
      <c r="AK50" t="b">
        <v>0</v>
      </c>
      <c r="AL50" t="b">
        <v>0</v>
      </c>
    </row>
    <row r="51" spans="1:38" x14ac:dyDescent="0.25">
      <c r="A51" t="s">
        <v>531</v>
      </c>
      <c r="B51" t="s">
        <v>182</v>
      </c>
      <c r="C51" t="s">
        <v>532</v>
      </c>
      <c r="D51" t="s">
        <v>226</v>
      </c>
      <c r="E51" t="s">
        <v>227</v>
      </c>
      <c r="F51" t="s">
        <v>325</v>
      </c>
      <c r="G51" t="s">
        <v>214</v>
      </c>
      <c r="H51" t="s">
        <v>535</v>
      </c>
      <c r="I51" t="s">
        <v>534</v>
      </c>
      <c r="J51" t="s">
        <v>535</v>
      </c>
      <c r="K51" t="s">
        <v>214</v>
      </c>
      <c r="L51" t="s">
        <v>535</v>
      </c>
      <c r="M51" t="s">
        <v>536</v>
      </c>
      <c r="N51" t="s">
        <v>216</v>
      </c>
      <c r="O51" t="s">
        <v>215</v>
      </c>
      <c r="P51" t="s">
        <v>216</v>
      </c>
      <c r="Q51" t="s">
        <v>215</v>
      </c>
      <c r="R51" t="s">
        <v>533</v>
      </c>
      <c r="S51" t="s">
        <v>215</v>
      </c>
      <c r="T51" t="s">
        <v>216</v>
      </c>
      <c r="U51" t="s">
        <v>215</v>
      </c>
      <c r="V51" t="s">
        <v>216</v>
      </c>
      <c r="W51" t="s">
        <v>215</v>
      </c>
      <c r="X51" t="s">
        <v>216</v>
      </c>
      <c r="Y51" t="s">
        <v>215</v>
      </c>
      <c r="Z51" t="s">
        <v>216</v>
      </c>
      <c r="AA51" t="s">
        <v>215</v>
      </c>
      <c r="AB51" t="s">
        <v>216</v>
      </c>
      <c r="AC51" t="s">
        <v>215</v>
      </c>
      <c r="AD51" t="s">
        <v>533</v>
      </c>
      <c r="AE51" t="s">
        <v>215</v>
      </c>
      <c r="AF51" t="b">
        <v>1</v>
      </c>
      <c r="AG51" t="b">
        <v>0</v>
      </c>
      <c r="AH51" t="b">
        <v>0</v>
      </c>
      <c r="AI51" t="b">
        <v>0</v>
      </c>
      <c r="AJ51" t="b">
        <v>0</v>
      </c>
      <c r="AK51" t="b">
        <v>0</v>
      </c>
      <c r="AL51" t="b">
        <v>0</v>
      </c>
    </row>
    <row r="52" spans="1:38" x14ac:dyDescent="0.25">
      <c r="A52" t="s">
        <v>537</v>
      </c>
      <c r="B52" t="s">
        <v>182</v>
      </c>
      <c r="C52" t="s">
        <v>532</v>
      </c>
      <c r="D52" t="s">
        <v>226</v>
      </c>
      <c r="E52" t="s">
        <v>268</v>
      </c>
      <c r="F52" t="s">
        <v>325</v>
      </c>
      <c r="G52" t="s">
        <v>214</v>
      </c>
      <c r="H52" t="s">
        <v>410</v>
      </c>
      <c r="I52" t="s">
        <v>538</v>
      </c>
      <c r="J52" t="s">
        <v>410</v>
      </c>
      <c r="K52" t="s">
        <v>214</v>
      </c>
      <c r="L52" t="s">
        <v>410</v>
      </c>
      <c r="M52" t="s">
        <v>536</v>
      </c>
      <c r="N52" t="s">
        <v>216</v>
      </c>
      <c r="O52" t="s">
        <v>215</v>
      </c>
      <c r="P52" t="s">
        <v>216</v>
      </c>
      <c r="Q52" t="s">
        <v>215</v>
      </c>
      <c r="R52" t="s">
        <v>539</v>
      </c>
      <c r="S52" t="s">
        <v>215</v>
      </c>
      <c r="T52" t="s">
        <v>216</v>
      </c>
      <c r="U52" t="s">
        <v>215</v>
      </c>
      <c r="V52" t="s">
        <v>216</v>
      </c>
      <c r="W52" t="s">
        <v>215</v>
      </c>
      <c r="X52" t="s">
        <v>216</v>
      </c>
      <c r="Y52" t="s">
        <v>215</v>
      </c>
      <c r="Z52" t="s">
        <v>216</v>
      </c>
      <c r="AA52" t="s">
        <v>215</v>
      </c>
      <c r="AB52" t="s">
        <v>216</v>
      </c>
      <c r="AC52" t="s">
        <v>215</v>
      </c>
      <c r="AD52" t="s">
        <v>539</v>
      </c>
      <c r="AE52" t="s">
        <v>215</v>
      </c>
      <c r="AF52" t="b">
        <v>1</v>
      </c>
      <c r="AG52" t="b">
        <v>0</v>
      </c>
      <c r="AH52" t="b">
        <v>0</v>
      </c>
      <c r="AI52" t="b">
        <v>0</v>
      </c>
      <c r="AJ52" t="b">
        <v>0</v>
      </c>
      <c r="AK52" t="b">
        <v>0</v>
      </c>
      <c r="AL52" t="b">
        <v>0</v>
      </c>
    </row>
    <row r="53" spans="1:38" x14ac:dyDescent="0.25">
      <c r="A53" t="s">
        <v>540</v>
      </c>
      <c r="B53" t="s">
        <v>182</v>
      </c>
      <c r="C53" t="s">
        <v>532</v>
      </c>
      <c r="D53" t="s">
        <v>226</v>
      </c>
      <c r="E53" t="s">
        <v>399</v>
      </c>
      <c r="F53" t="s">
        <v>325</v>
      </c>
      <c r="G53" t="s">
        <v>214</v>
      </c>
      <c r="H53" t="s">
        <v>410</v>
      </c>
      <c r="I53" t="s">
        <v>542</v>
      </c>
      <c r="J53" t="s">
        <v>410</v>
      </c>
      <c r="K53" t="s">
        <v>214</v>
      </c>
      <c r="L53" t="s">
        <v>410</v>
      </c>
      <c r="M53" t="s">
        <v>536</v>
      </c>
      <c r="N53" t="s">
        <v>216</v>
      </c>
      <c r="O53" t="s">
        <v>215</v>
      </c>
      <c r="P53" t="s">
        <v>216</v>
      </c>
      <c r="Q53" t="s">
        <v>215</v>
      </c>
      <c r="R53" t="s">
        <v>541</v>
      </c>
      <c r="S53" t="s">
        <v>215</v>
      </c>
      <c r="T53" t="s">
        <v>216</v>
      </c>
      <c r="U53" t="s">
        <v>215</v>
      </c>
      <c r="V53" t="s">
        <v>216</v>
      </c>
      <c r="W53" t="s">
        <v>215</v>
      </c>
      <c r="X53" t="s">
        <v>216</v>
      </c>
      <c r="Y53" t="s">
        <v>215</v>
      </c>
      <c r="Z53" t="s">
        <v>216</v>
      </c>
      <c r="AA53" t="s">
        <v>215</v>
      </c>
      <c r="AB53" t="s">
        <v>216</v>
      </c>
      <c r="AC53" t="s">
        <v>215</v>
      </c>
      <c r="AD53" t="s">
        <v>541</v>
      </c>
      <c r="AE53" t="s">
        <v>215</v>
      </c>
      <c r="AF53" t="b">
        <v>1</v>
      </c>
      <c r="AG53" t="b">
        <v>0</v>
      </c>
      <c r="AH53" t="b">
        <v>0</v>
      </c>
      <c r="AI53" t="b">
        <v>0</v>
      </c>
      <c r="AJ53" t="b">
        <v>0</v>
      </c>
      <c r="AK53" t="b">
        <v>0</v>
      </c>
      <c r="AL53" t="b">
        <v>0</v>
      </c>
    </row>
    <row r="54" spans="1:38" x14ac:dyDescent="0.25">
      <c r="A54" t="s">
        <v>543</v>
      </c>
      <c r="B54" t="s">
        <v>182</v>
      </c>
      <c r="C54" t="s">
        <v>410</v>
      </c>
      <c r="D54" t="s">
        <v>226</v>
      </c>
      <c r="E54" t="s">
        <v>242</v>
      </c>
      <c r="F54" t="s">
        <v>325</v>
      </c>
      <c r="G54" t="s">
        <v>214</v>
      </c>
      <c r="H54" t="s">
        <v>410</v>
      </c>
      <c r="I54" t="s">
        <v>545</v>
      </c>
      <c r="J54" t="s">
        <v>410</v>
      </c>
      <c r="K54" t="s">
        <v>214</v>
      </c>
      <c r="L54" t="s">
        <v>410</v>
      </c>
      <c r="M54" t="s">
        <v>536</v>
      </c>
      <c r="N54" t="s">
        <v>216</v>
      </c>
      <c r="O54" t="s">
        <v>215</v>
      </c>
      <c r="P54" t="s">
        <v>216</v>
      </c>
      <c r="Q54" t="s">
        <v>215</v>
      </c>
      <c r="R54" t="s">
        <v>544</v>
      </c>
      <c r="S54" t="s">
        <v>215</v>
      </c>
      <c r="T54" t="s">
        <v>216</v>
      </c>
      <c r="U54" t="s">
        <v>215</v>
      </c>
      <c r="V54" t="s">
        <v>216</v>
      </c>
      <c r="W54" t="s">
        <v>215</v>
      </c>
      <c r="X54" t="s">
        <v>216</v>
      </c>
      <c r="Y54" t="s">
        <v>215</v>
      </c>
      <c r="Z54" t="s">
        <v>216</v>
      </c>
      <c r="AA54" t="s">
        <v>215</v>
      </c>
      <c r="AB54" t="s">
        <v>216</v>
      </c>
      <c r="AC54" t="s">
        <v>215</v>
      </c>
      <c r="AD54" t="s">
        <v>544</v>
      </c>
      <c r="AE54" t="s">
        <v>215</v>
      </c>
      <c r="AF54" t="b">
        <v>1</v>
      </c>
      <c r="AG54" t="b">
        <v>0</v>
      </c>
      <c r="AH54" t="b">
        <v>0</v>
      </c>
      <c r="AI54" t="b">
        <v>0</v>
      </c>
      <c r="AJ54" t="b">
        <v>0</v>
      </c>
      <c r="AK54" t="b">
        <v>0</v>
      </c>
      <c r="AL54" t="b">
        <v>0</v>
      </c>
    </row>
    <row r="55" spans="1:38" x14ac:dyDescent="0.25">
      <c r="A55" t="s">
        <v>546</v>
      </c>
      <c r="B55" t="s">
        <v>182</v>
      </c>
      <c r="C55" t="s">
        <v>532</v>
      </c>
      <c r="D55" t="s">
        <v>226</v>
      </c>
      <c r="E55" t="s">
        <v>268</v>
      </c>
      <c r="F55" t="s">
        <v>325</v>
      </c>
      <c r="G55" t="s">
        <v>214</v>
      </c>
      <c r="H55" t="s">
        <v>410</v>
      </c>
      <c r="I55" t="s">
        <v>548</v>
      </c>
      <c r="J55" t="s">
        <v>410</v>
      </c>
      <c r="K55" t="s">
        <v>214</v>
      </c>
      <c r="L55" t="s">
        <v>410</v>
      </c>
      <c r="M55" t="s">
        <v>536</v>
      </c>
      <c r="N55" t="s">
        <v>216</v>
      </c>
      <c r="O55" t="s">
        <v>215</v>
      </c>
      <c r="P55" t="s">
        <v>216</v>
      </c>
      <c r="Q55" t="s">
        <v>215</v>
      </c>
      <c r="R55" t="s">
        <v>547</v>
      </c>
      <c r="S55" t="s">
        <v>215</v>
      </c>
      <c r="T55" t="s">
        <v>216</v>
      </c>
      <c r="U55" t="s">
        <v>215</v>
      </c>
      <c r="V55" t="s">
        <v>216</v>
      </c>
      <c r="W55" t="s">
        <v>215</v>
      </c>
      <c r="X55" t="s">
        <v>216</v>
      </c>
      <c r="Y55" t="s">
        <v>215</v>
      </c>
      <c r="Z55" t="s">
        <v>216</v>
      </c>
      <c r="AA55" t="s">
        <v>215</v>
      </c>
      <c r="AB55" t="s">
        <v>216</v>
      </c>
      <c r="AC55" t="s">
        <v>215</v>
      </c>
      <c r="AD55" t="s">
        <v>547</v>
      </c>
      <c r="AE55" t="s">
        <v>215</v>
      </c>
      <c r="AF55" t="b">
        <v>1</v>
      </c>
      <c r="AG55" t="b">
        <v>0</v>
      </c>
      <c r="AH55" t="b">
        <v>0</v>
      </c>
      <c r="AI55" t="b">
        <v>0</v>
      </c>
      <c r="AJ55" t="b">
        <v>0</v>
      </c>
      <c r="AK55" t="b">
        <v>0</v>
      </c>
      <c r="AL55" t="b">
        <v>0</v>
      </c>
    </row>
    <row r="56" spans="1:38" x14ac:dyDescent="0.25">
      <c r="A56" t="s">
        <v>549</v>
      </c>
      <c r="B56" t="s">
        <v>182</v>
      </c>
      <c r="C56" t="s">
        <v>551</v>
      </c>
      <c r="D56" t="s">
        <v>226</v>
      </c>
      <c r="E56" t="s">
        <v>242</v>
      </c>
      <c r="F56" t="s">
        <v>235</v>
      </c>
      <c r="G56" t="s">
        <v>214</v>
      </c>
      <c r="H56" t="s">
        <v>532</v>
      </c>
      <c r="I56" t="s">
        <v>550</v>
      </c>
      <c r="J56" t="s">
        <v>532</v>
      </c>
      <c r="K56" t="s">
        <v>214</v>
      </c>
      <c r="L56" t="s">
        <v>532</v>
      </c>
      <c r="M56" t="s">
        <v>555</v>
      </c>
      <c r="N56" t="s">
        <v>216</v>
      </c>
      <c r="O56" t="s">
        <v>215</v>
      </c>
      <c r="P56" t="s">
        <v>216</v>
      </c>
      <c r="Q56" t="s">
        <v>215</v>
      </c>
      <c r="R56" t="s">
        <v>552</v>
      </c>
      <c r="S56" t="s">
        <v>215</v>
      </c>
      <c r="T56" t="s">
        <v>553</v>
      </c>
      <c r="U56" t="s">
        <v>215</v>
      </c>
      <c r="V56" t="s">
        <v>216</v>
      </c>
      <c r="W56" t="s">
        <v>215</v>
      </c>
      <c r="X56" t="s">
        <v>216</v>
      </c>
      <c r="Y56" t="s">
        <v>215</v>
      </c>
      <c r="Z56" t="s">
        <v>216</v>
      </c>
      <c r="AA56" t="s">
        <v>215</v>
      </c>
      <c r="AB56" t="s">
        <v>216</v>
      </c>
      <c r="AC56" t="s">
        <v>215</v>
      </c>
      <c r="AD56" t="s">
        <v>554</v>
      </c>
      <c r="AE56" t="s">
        <v>215</v>
      </c>
      <c r="AF56" t="b">
        <v>1</v>
      </c>
      <c r="AG56" t="b">
        <v>0</v>
      </c>
      <c r="AH56" t="b">
        <v>0</v>
      </c>
      <c r="AI56" t="b">
        <v>0</v>
      </c>
      <c r="AJ56" t="b">
        <v>0</v>
      </c>
      <c r="AK56" t="b">
        <v>0</v>
      </c>
      <c r="AL56" t="b">
        <v>0</v>
      </c>
    </row>
    <row r="57" spans="1:38" x14ac:dyDescent="0.25">
      <c r="A57" t="s">
        <v>556</v>
      </c>
      <c r="B57" t="s">
        <v>182</v>
      </c>
      <c r="C57" t="s">
        <v>551</v>
      </c>
      <c r="D57" t="s">
        <v>226</v>
      </c>
      <c r="E57" t="s">
        <v>242</v>
      </c>
      <c r="F57" t="s">
        <v>370</v>
      </c>
      <c r="G57" t="s">
        <v>214</v>
      </c>
      <c r="H57" t="s">
        <v>560</v>
      </c>
      <c r="I57" t="s">
        <v>559</v>
      </c>
      <c r="J57" t="s">
        <v>560</v>
      </c>
      <c r="K57" t="s">
        <v>214</v>
      </c>
      <c r="L57" t="s">
        <v>560</v>
      </c>
      <c r="M57" t="s">
        <v>561</v>
      </c>
      <c r="N57" t="s">
        <v>216</v>
      </c>
      <c r="O57" t="s">
        <v>215</v>
      </c>
      <c r="P57" t="s">
        <v>216</v>
      </c>
      <c r="Q57" t="s">
        <v>215</v>
      </c>
      <c r="R57" t="s">
        <v>368</v>
      </c>
      <c r="S57" t="s">
        <v>215</v>
      </c>
      <c r="T57" t="s">
        <v>557</v>
      </c>
      <c r="U57" t="s">
        <v>215</v>
      </c>
      <c r="V57" t="s">
        <v>216</v>
      </c>
      <c r="W57" t="s">
        <v>215</v>
      </c>
      <c r="X57" t="s">
        <v>216</v>
      </c>
      <c r="Y57" t="s">
        <v>215</v>
      </c>
      <c r="Z57" t="s">
        <v>216</v>
      </c>
      <c r="AA57" t="s">
        <v>215</v>
      </c>
      <c r="AB57" t="s">
        <v>216</v>
      </c>
      <c r="AC57" t="s">
        <v>215</v>
      </c>
      <c r="AD57" t="s">
        <v>558</v>
      </c>
      <c r="AE57" t="s">
        <v>215</v>
      </c>
      <c r="AF57" t="b">
        <v>1</v>
      </c>
      <c r="AG57" t="b">
        <v>0</v>
      </c>
      <c r="AH57" t="b">
        <v>0</v>
      </c>
      <c r="AI57" t="b">
        <v>0</v>
      </c>
      <c r="AJ57" t="b">
        <v>0</v>
      </c>
      <c r="AK57" t="b">
        <v>0</v>
      </c>
      <c r="AL57" t="b">
        <v>0</v>
      </c>
    </row>
    <row r="58" spans="1:38" s="80" customFormat="1" x14ac:dyDescent="0.25">
      <c r="A58" s="80" t="s">
        <v>562</v>
      </c>
      <c r="B58" s="81" t="s">
        <v>182</v>
      </c>
      <c r="C58" s="82">
        <v>43755</v>
      </c>
      <c r="D58" s="80" t="s">
        <v>226</v>
      </c>
      <c r="E58" s="80" t="s">
        <v>242</v>
      </c>
      <c r="F58" s="80" t="s">
        <v>235</v>
      </c>
      <c r="G58" s="80" t="s">
        <v>214</v>
      </c>
      <c r="H58" s="82">
        <v>43738</v>
      </c>
      <c r="I58" s="85" t="s">
        <v>550</v>
      </c>
      <c r="J58" s="82">
        <v>43738</v>
      </c>
      <c r="K58" s="80" t="s">
        <v>214</v>
      </c>
      <c r="L58" s="82">
        <v>43738</v>
      </c>
      <c r="M58" s="82">
        <v>43753</v>
      </c>
      <c r="N58" s="80">
        <v>0</v>
      </c>
      <c r="O58" s="83" t="s">
        <v>215</v>
      </c>
      <c r="P58" s="80">
        <v>0</v>
      </c>
      <c r="Q58" s="83" t="s">
        <v>215</v>
      </c>
      <c r="R58" s="80" t="s">
        <v>563</v>
      </c>
      <c r="S58" s="83" t="s">
        <v>215</v>
      </c>
      <c r="T58" s="80" t="s">
        <v>564</v>
      </c>
      <c r="U58" s="83" t="s">
        <v>215</v>
      </c>
      <c r="V58" s="80">
        <v>0</v>
      </c>
      <c r="W58" s="83" t="s">
        <v>215</v>
      </c>
      <c r="X58" s="80">
        <v>0</v>
      </c>
      <c r="Y58" s="83" t="s">
        <v>215</v>
      </c>
      <c r="Z58" s="80">
        <v>0</v>
      </c>
      <c r="AA58" s="83" t="s">
        <v>215</v>
      </c>
      <c r="AB58" s="80">
        <v>0</v>
      </c>
      <c r="AC58" s="83" t="s">
        <v>215</v>
      </c>
      <c r="AD58" s="80" t="s">
        <v>565</v>
      </c>
      <c r="AE58" s="80" t="s">
        <v>215</v>
      </c>
      <c r="AF58" s="80" t="b">
        <v>1</v>
      </c>
      <c r="AG58" s="80" t="b">
        <v>0</v>
      </c>
      <c r="AH58" s="80" t="b">
        <v>0</v>
      </c>
      <c r="AI58" s="80" t="b">
        <v>0</v>
      </c>
      <c r="AJ58" s="80" t="b">
        <v>0</v>
      </c>
      <c r="AK58" s="80" t="b">
        <v>0</v>
      </c>
      <c r="AL58" s="80" t="b">
        <v>0</v>
      </c>
    </row>
    <row r="59" spans="1:38" s="80" customFormat="1" x14ac:dyDescent="0.25">
      <c r="A59" s="80" t="s">
        <v>566</v>
      </c>
      <c r="B59" s="81" t="s">
        <v>182</v>
      </c>
      <c r="C59" s="82">
        <v>43755</v>
      </c>
      <c r="D59" s="80" t="s">
        <v>226</v>
      </c>
      <c r="E59" s="80" t="s">
        <v>242</v>
      </c>
      <c r="F59" s="80" t="s">
        <v>370</v>
      </c>
      <c r="G59" s="80" t="s">
        <v>214</v>
      </c>
      <c r="H59" s="82">
        <v>43736</v>
      </c>
      <c r="I59" s="84" t="s">
        <v>559</v>
      </c>
      <c r="J59" s="82">
        <v>43736</v>
      </c>
      <c r="K59" s="80" t="s">
        <v>214</v>
      </c>
      <c r="L59" s="82">
        <v>43736</v>
      </c>
      <c r="M59" s="82">
        <v>43758</v>
      </c>
      <c r="N59" s="80">
        <v>0</v>
      </c>
      <c r="O59" s="83" t="s">
        <v>215</v>
      </c>
      <c r="P59" s="80">
        <v>0</v>
      </c>
      <c r="Q59" s="83" t="s">
        <v>215</v>
      </c>
      <c r="R59" s="80" t="s">
        <v>368</v>
      </c>
      <c r="S59" s="83" t="s">
        <v>215</v>
      </c>
      <c r="T59" s="80" t="s">
        <v>567</v>
      </c>
      <c r="U59" s="83" t="s">
        <v>215</v>
      </c>
      <c r="V59" s="80">
        <v>0</v>
      </c>
      <c r="W59" s="83" t="s">
        <v>215</v>
      </c>
      <c r="X59" s="80">
        <v>0</v>
      </c>
      <c r="Y59" s="83" t="s">
        <v>215</v>
      </c>
      <c r="Z59" s="80">
        <v>0</v>
      </c>
      <c r="AA59" s="83" t="s">
        <v>215</v>
      </c>
      <c r="AB59" s="80">
        <v>0</v>
      </c>
      <c r="AC59" s="83" t="s">
        <v>215</v>
      </c>
      <c r="AD59" s="80" t="s">
        <v>568</v>
      </c>
      <c r="AE59" s="80" t="s">
        <v>215</v>
      </c>
      <c r="AF59" s="80" t="b">
        <v>1</v>
      </c>
      <c r="AG59" s="80" t="b">
        <v>0</v>
      </c>
      <c r="AH59" s="80" t="b">
        <v>0</v>
      </c>
      <c r="AI59" s="80" t="b">
        <v>0</v>
      </c>
      <c r="AJ59" s="80" t="b">
        <v>0</v>
      </c>
      <c r="AK59" s="80" t="b">
        <v>0</v>
      </c>
      <c r="AL59" s="80" t="b">
        <v>0</v>
      </c>
    </row>
    <row r="60" spans="1:38" s="80" customFormat="1" x14ac:dyDescent="0.25">
      <c r="A60" s="80" t="s">
        <v>569</v>
      </c>
      <c r="B60" s="81" t="s">
        <v>182</v>
      </c>
      <c r="C60" s="82">
        <v>43755</v>
      </c>
      <c r="D60" s="80" t="s">
        <v>226</v>
      </c>
      <c r="E60" s="80" t="s">
        <v>242</v>
      </c>
      <c r="F60" s="80" t="s">
        <v>249</v>
      </c>
      <c r="G60" s="80" t="s">
        <v>214</v>
      </c>
      <c r="H60" s="82">
        <v>43741</v>
      </c>
      <c r="I60" s="84" t="s">
        <v>570</v>
      </c>
      <c r="J60" s="82">
        <v>43741</v>
      </c>
      <c r="K60" s="80" t="s">
        <v>214</v>
      </c>
      <c r="L60" s="82">
        <v>43741</v>
      </c>
      <c r="M60" s="82">
        <v>43756</v>
      </c>
      <c r="N60" s="80">
        <v>0</v>
      </c>
      <c r="O60" s="83" t="s">
        <v>215</v>
      </c>
      <c r="P60" s="80">
        <v>0</v>
      </c>
      <c r="Q60" s="83" t="s">
        <v>215</v>
      </c>
      <c r="R60" s="80" t="s">
        <v>258</v>
      </c>
      <c r="S60" s="83" t="s">
        <v>215</v>
      </c>
      <c r="T60" s="80" t="s">
        <v>259</v>
      </c>
      <c r="U60" s="83" t="s">
        <v>215</v>
      </c>
      <c r="V60" s="80">
        <v>0</v>
      </c>
      <c r="W60" s="83" t="s">
        <v>215</v>
      </c>
      <c r="X60" s="80">
        <v>0</v>
      </c>
      <c r="Y60" s="83" t="s">
        <v>215</v>
      </c>
      <c r="Z60" s="80">
        <v>0</v>
      </c>
      <c r="AA60" s="83" t="s">
        <v>215</v>
      </c>
      <c r="AB60" s="80">
        <v>0</v>
      </c>
      <c r="AC60" s="83" t="s">
        <v>215</v>
      </c>
      <c r="AD60" s="80" t="s">
        <v>260</v>
      </c>
      <c r="AE60" s="80" t="s">
        <v>215</v>
      </c>
      <c r="AF60" s="80" t="b">
        <v>1</v>
      </c>
      <c r="AG60" s="80" t="b">
        <v>0</v>
      </c>
      <c r="AH60" s="80" t="b">
        <v>0</v>
      </c>
      <c r="AI60" s="80" t="b">
        <v>0</v>
      </c>
      <c r="AJ60" s="80" t="b">
        <v>0</v>
      </c>
      <c r="AK60" s="80" t="b">
        <v>0</v>
      </c>
      <c r="AL60" s="80" t="b">
        <v>0</v>
      </c>
    </row>
    <row r="61" spans="1:38" x14ac:dyDescent="0.25">
      <c r="A61" t="s">
        <v>571</v>
      </c>
      <c r="B61" t="s">
        <v>182</v>
      </c>
      <c r="C61" t="s">
        <v>572</v>
      </c>
      <c r="D61" t="s">
        <v>226</v>
      </c>
      <c r="E61" t="s">
        <v>573</v>
      </c>
      <c r="F61" t="s">
        <v>325</v>
      </c>
      <c r="G61" t="s">
        <v>214</v>
      </c>
      <c r="H61" t="s">
        <v>427</v>
      </c>
      <c r="I61" t="s">
        <v>577</v>
      </c>
      <c r="J61" t="s">
        <v>427</v>
      </c>
      <c r="K61" t="s">
        <v>214</v>
      </c>
      <c r="L61" t="s">
        <v>427</v>
      </c>
      <c r="M61" t="s">
        <v>578</v>
      </c>
      <c r="N61" t="s">
        <v>216</v>
      </c>
      <c r="O61" t="s">
        <v>215</v>
      </c>
      <c r="P61" t="s">
        <v>216</v>
      </c>
      <c r="Q61" t="s">
        <v>215</v>
      </c>
      <c r="R61" t="s">
        <v>574</v>
      </c>
      <c r="S61" t="s">
        <v>215</v>
      </c>
      <c r="T61" t="s">
        <v>575</v>
      </c>
      <c r="U61" t="s">
        <v>215</v>
      </c>
      <c r="V61" t="s">
        <v>216</v>
      </c>
      <c r="W61" t="s">
        <v>215</v>
      </c>
      <c r="X61" t="s">
        <v>216</v>
      </c>
      <c r="Y61" t="s">
        <v>215</v>
      </c>
      <c r="Z61" t="s">
        <v>216</v>
      </c>
      <c r="AA61" t="s">
        <v>215</v>
      </c>
      <c r="AB61" t="s">
        <v>216</v>
      </c>
      <c r="AC61" t="s">
        <v>215</v>
      </c>
      <c r="AD61" t="s">
        <v>576</v>
      </c>
      <c r="AE61" t="s">
        <v>215</v>
      </c>
      <c r="AF61" t="b">
        <v>1</v>
      </c>
      <c r="AG61" t="b">
        <v>0</v>
      </c>
      <c r="AH61" t="b">
        <v>0</v>
      </c>
      <c r="AI61" t="b">
        <v>0</v>
      </c>
      <c r="AJ61" t="b">
        <v>0</v>
      </c>
      <c r="AK61" t="b">
        <v>0</v>
      </c>
      <c r="AL61" t="b">
        <v>0</v>
      </c>
    </row>
    <row r="62" spans="1:38" x14ac:dyDescent="0.25">
      <c r="A62" t="s">
        <v>579</v>
      </c>
      <c r="B62" t="s">
        <v>182</v>
      </c>
      <c r="C62" t="s">
        <v>572</v>
      </c>
      <c r="D62" t="s">
        <v>226</v>
      </c>
      <c r="E62" t="s">
        <v>268</v>
      </c>
      <c r="F62" t="s">
        <v>325</v>
      </c>
      <c r="G62" t="s">
        <v>214</v>
      </c>
      <c r="H62" t="s">
        <v>427</v>
      </c>
      <c r="I62" t="s">
        <v>580</v>
      </c>
      <c r="J62" t="s">
        <v>427</v>
      </c>
      <c r="K62" t="s">
        <v>214</v>
      </c>
      <c r="L62" t="s">
        <v>427</v>
      </c>
      <c r="M62" t="s">
        <v>572</v>
      </c>
      <c r="N62" t="s">
        <v>216</v>
      </c>
      <c r="O62" t="s">
        <v>215</v>
      </c>
      <c r="P62" t="s">
        <v>216</v>
      </c>
      <c r="Q62" t="s">
        <v>215</v>
      </c>
      <c r="R62" t="s">
        <v>581</v>
      </c>
      <c r="S62" t="s">
        <v>215</v>
      </c>
      <c r="T62" t="s">
        <v>582</v>
      </c>
      <c r="U62" t="s">
        <v>215</v>
      </c>
      <c r="V62" t="s">
        <v>216</v>
      </c>
      <c r="W62" t="s">
        <v>215</v>
      </c>
      <c r="X62" t="s">
        <v>216</v>
      </c>
      <c r="Y62" t="s">
        <v>215</v>
      </c>
      <c r="Z62" t="s">
        <v>216</v>
      </c>
      <c r="AA62" t="s">
        <v>215</v>
      </c>
      <c r="AB62" t="s">
        <v>216</v>
      </c>
      <c r="AC62" t="s">
        <v>215</v>
      </c>
      <c r="AD62" t="s">
        <v>583</v>
      </c>
      <c r="AE62" t="s">
        <v>215</v>
      </c>
      <c r="AF62" t="b">
        <v>1</v>
      </c>
      <c r="AG62" t="b">
        <v>0</v>
      </c>
      <c r="AH62" t="b">
        <v>0</v>
      </c>
      <c r="AI62" t="b">
        <v>0</v>
      </c>
      <c r="AJ62" t="b">
        <v>0</v>
      </c>
      <c r="AK62" t="b">
        <v>0</v>
      </c>
      <c r="AL62" t="b">
        <v>0</v>
      </c>
    </row>
    <row r="63" spans="1:38" x14ac:dyDescent="0.25">
      <c r="A63" t="s">
        <v>584</v>
      </c>
      <c r="B63" t="s">
        <v>182</v>
      </c>
      <c r="C63" t="s">
        <v>572</v>
      </c>
      <c r="D63" t="s">
        <v>226</v>
      </c>
      <c r="E63" t="s">
        <v>242</v>
      </c>
      <c r="F63" t="s">
        <v>325</v>
      </c>
      <c r="G63" t="s">
        <v>214</v>
      </c>
      <c r="H63" t="s">
        <v>427</v>
      </c>
      <c r="I63" t="s">
        <v>588</v>
      </c>
      <c r="J63" t="s">
        <v>427</v>
      </c>
      <c r="K63" t="s">
        <v>214</v>
      </c>
      <c r="L63" t="s">
        <v>427</v>
      </c>
      <c r="M63" t="s">
        <v>572</v>
      </c>
      <c r="N63" t="s">
        <v>216</v>
      </c>
      <c r="O63" t="s">
        <v>215</v>
      </c>
      <c r="P63" t="s">
        <v>216</v>
      </c>
      <c r="Q63" t="s">
        <v>215</v>
      </c>
      <c r="R63" t="s">
        <v>585</v>
      </c>
      <c r="S63" t="s">
        <v>215</v>
      </c>
      <c r="T63" t="s">
        <v>586</v>
      </c>
      <c r="U63" t="s">
        <v>215</v>
      </c>
      <c r="V63" t="s">
        <v>216</v>
      </c>
      <c r="W63" t="s">
        <v>215</v>
      </c>
      <c r="X63" t="s">
        <v>216</v>
      </c>
      <c r="Y63" t="s">
        <v>215</v>
      </c>
      <c r="Z63" t="s">
        <v>216</v>
      </c>
      <c r="AA63" t="s">
        <v>215</v>
      </c>
      <c r="AB63" t="s">
        <v>216</v>
      </c>
      <c r="AC63" t="s">
        <v>215</v>
      </c>
      <c r="AD63" t="s">
        <v>587</v>
      </c>
      <c r="AE63" t="s">
        <v>215</v>
      </c>
      <c r="AF63" t="b">
        <v>1</v>
      </c>
      <c r="AG63" t="b">
        <v>0</v>
      </c>
      <c r="AH63" t="b">
        <v>0</v>
      </c>
      <c r="AI63" t="b">
        <v>0</v>
      </c>
      <c r="AJ63" t="b">
        <v>0</v>
      </c>
      <c r="AK63" t="b">
        <v>0</v>
      </c>
      <c r="AL63" t="b">
        <v>0</v>
      </c>
    </row>
  </sheetData>
  <pageMargins left="0.7" right="0.7" top="0.75" bottom="0.75" header="0.3" footer="0.3"/>
  <customProperties>
    <customPr name="%locator_row%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AYMENTFORMDB_Button1_Click">
                <anchor moveWithCells="1" sizeWithCells="1">
                  <from>
                    <xdr:col>0</xdr:col>
                    <xdr:colOff>200025</xdr:colOff>
                    <xdr:row>8</xdr:row>
                    <xdr:rowOff>114300</xdr:rowOff>
                  </from>
                  <to>
                    <xdr:col>0</xdr:col>
                    <xdr:colOff>990600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cols>
    <col min="1" max="1" width="16.85546875" bestFit="1" customWidth="1"/>
    <col min="2" max="2" width="7.28515625" bestFit="1" customWidth="1"/>
    <col min="3" max="3" width="8.7109375" bestFit="1" customWidth="1"/>
    <col min="4" max="5" width="4" bestFit="1" customWidth="1"/>
    <col min="6" max="6" width="3" bestFit="1" customWidth="1"/>
    <col min="7" max="7" width="2" bestFit="1" customWidth="1"/>
    <col min="8" max="8" width="8.7109375" bestFit="1" customWidth="1"/>
    <col min="9" max="9" width="2" bestFit="1" customWidth="1"/>
    <col min="10" max="10" width="8.7109375" bestFit="1" customWidth="1"/>
    <col min="11" max="11" width="2" bestFit="1" customWidth="1"/>
    <col min="12" max="13" width="8.7109375" bestFit="1" customWidth="1"/>
    <col min="14" max="14" width="2" bestFit="1" customWidth="1"/>
    <col min="15" max="15" width="3.7109375" bestFit="1" customWidth="1"/>
    <col min="16" max="16" width="2" bestFit="1" customWidth="1"/>
    <col min="17" max="17" width="3.7109375" bestFit="1" customWidth="1"/>
    <col min="18" max="18" width="2" bestFit="1" customWidth="1"/>
    <col min="19" max="19" width="3.7109375" bestFit="1" customWidth="1"/>
    <col min="20" max="20" width="2" bestFit="1" customWidth="1"/>
    <col min="21" max="21" width="3.7109375" bestFit="1" customWidth="1"/>
    <col min="22" max="22" width="2" bestFit="1" customWidth="1"/>
    <col min="23" max="23" width="3.7109375" bestFit="1" customWidth="1"/>
    <col min="24" max="24" width="2" bestFit="1" customWidth="1"/>
    <col min="25" max="25" width="3.7109375" bestFit="1" customWidth="1"/>
    <col min="26" max="26" width="2" bestFit="1" customWidth="1"/>
    <col min="27" max="27" width="3.7109375" bestFit="1" customWidth="1"/>
    <col min="28" max="28" width="2" bestFit="1" customWidth="1"/>
    <col min="29" max="29" width="3.7109375" bestFit="1" customWidth="1"/>
    <col min="30" max="30" width="2" bestFit="1" customWidth="1"/>
    <col min="31" max="31" width="3.7109375" bestFit="1" customWidth="1"/>
    <col min="32" max="34" width="5.42578125" bestFit="1" customWidth="1"/>
    <col min="35" max="38" width="6.140625" bestFit="1" customWidth="1"/>
  </cols>
  <sheetData/>
  <pageMargins left="0.7" right="0.7" top="0.75" bottom="0.75" header="0.3" footer="0.3"/>
  <customProperties>
    <customPr name="%locator_row%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6"/>
  <sheetViews>
    <sheetView workbookViewId="0"/>
  </sheetViews>
  <sheetFormatPr defaultRowHeight="15" x14ac:dyDescent="0.25"/>
  <cols>
    <col min="1" max="1" width="21.5703125" bestFit="1" customWidth="1"/>
    <col min="2" max="2" width="11.5703125" customWidth="1"/>
    <col min="4" max="4" width="38.42578125" bestFit="1" customWidth="1"/>
  </cols>
  <sheetData>
    <row r="1" spans="1:4" ht="15.75" thickBot="1" x14ac:dyDescent="0.3">
      <c r="A1" s="71" t="s">
        <v>172</v>
      </c>
      <c r="B1" s="72" t="s">
        <v>172</v>
      </c>
      <c r="D1" s="77" t="s">
        <v>199</v>
      </c>
    </row>
    <row r="2" spans="1:4" ht="15.75" thickBot="1" x14ac:dyDescent="0.3">
      <c r="A2" s="71" t="s">
        <v>121</v>
      </c>
      <c r="B2" s="72" t="s">
        <v>121</v>
      </c>
      <c r="D2" s="78" t="s">
        <v>200</v>
      </c>
    </row>
    <row r="3" spans="1:4" ht="15.75" thickBot="1" x14ac:dyDescent="0.3">
      <c r="A3" s="71" t="s">
        <v>173</v>
      </c>
      <c r="B3" s="72" t="s">
        <v>122</v>
      </c>
      <c r="D3" s="78" t="s">
        <v>201</v>
      </c>
    </row>
    <row r="4" spans="1:4" ht="15.75" thickBot="1" x14ac:dyDescent="0.3">
      <c r="A4" s="71" t="s">
        <v>174</v>
      </c>
      <c r="B4" s="72" t="s">
        <v>123</v>
      </c>
      <c r="D4" s="78" t="s">
        <v>202</v>
      </c>
    </row>
    <row r="5" spans="1:4" ht="15.75" thickBot="1" x14ac:dyDescent="0.3">
      <c r="A5" s="71" t="s">
        <v>124</v>
      </c>
      <c r="B5" s="72" t="s">
        <v>124</v>
      </c>
      <c r="D5" s="78" t="s">
        <v>203</v>
      </c>
    </row>
    <row r="6" spans="1:4" ht="15.75" thickBot="1" x14ac:dyDescent="0.3">
      <c r="A6" s="71" t="s">
        <v>175</v>
      </c>
      <c r="B6" s="72" t="s">
        <v>176</v>
      </c>
      <c r="D6" s="78" t="s">
        <v>204</v>
      </c>
    </row>
    <row r="7" spans="1:4" ht="15.75" thickBot="1" x14ac:dyDescent="0.3">
      <c r="A7" s="71" t="s">
        <v>177</v>
      </c>
      <c r="B7" s="72" t="s">
        <v>125</v>
      </c>
      <c r="D7" s="78" t="s">
        <v>205</v>
      </c>
    </row>
    <row r="8" spans="1:4" ht="15.75" thickBot="1" x14ac:dyDescent="0.3">
      <c r="A8" s="71" t="s">
        <v>178</v>
      </c>
      <c r="B8" s="72" t="s">
        <v>179</v>
      </c>
      <c r="D8" s="78" t="s">
        <v>206</v>
      </c>
    </row>
    <row r="9" spans="1:4" ht="15.75" thickBot="1" x14ac:dyDescent="0.3">
      <c r="A9" s="71" t="s">
        <v>180</v>
      </c>
      <c r="B9" s="72" t="s">
        <v>181</v>
      </c>
      <c r="D9" s="78" t="s">
        <v>207</v>
      </c>
    </row>
    <row r="10" spans="1:4" ht="15.75" thickBot="1" x14ac:dyDescent="0.3">
      <c r="A10" s="71" t="s">
        <v>182</v>
      </c>
      <c r="B10" s="72" t="s">
        <v>183</v>
      </c>
      <c r="D10" s="78" t="s">
        <v>208</v>
      </c>
    </row>
    <row r="11" spans="1:4" ht="15.75" thickBot="1" x14ac:dyDescent="0.3">
      <c r="A11" s="71" t="s">
        <v>184</v>
      </c>
      <c r="B11" s="72" t="s">
        <v>185</v>
      </c>
      <c r="D11" s="78" t="s">
        <v>209</v>
      </c>
    </row>
    <row r="12" spans="1:4" ht="15.75" thickBot="1" x14ac:dyDescent="0.3">
      <c r="A12" s="71" t="s">
        <v>186</v>
      </c>
      <c r="B12" s="72" t="s">
        <v>126</v>
      </c>
      <c r="D12" s="78" t="s">
        <v>210</v>
      </c>
    </row>
    <row r="13" spans="1:4" ht="15.75" thickBot="1" x14ac:dyDescent="0.3">
      <c r="A13" s="71" t="s">
        <v>187</v>
      </c>
      <c r="B13" s="72" t="s">
        <v>127</v>
      </c>
      <c r="D13" s="78" t="s">
        <v>211</v>
      </c>
    </row>
    <row r="14" spans="1:4" x14ac:dyDescent="0.25">
      <c r="A14" s="71" t="s">
        <v>188</v>
      </c>
      <c r="B14" s="72" t="s">
        <v>188</v>
      </c>
    </row>
    <row r="15" spans="1:4" x14ac:dyDescent="0.25">
      <c r="A15" s="71" t="s">
        <v>189</v>
      </c>
      <c r="B15" s="72" t="s">
        <v>190</v>
      </c>
    </row>
    <row r="16" spans="1:4" s="73" customFormat="1" x14ac:dyDescent="0.25">
      <c r="A16" s="71" t="s">
        <v>197</v>
      </c>
      <c r="B16" s="72" t="s">
        <v>198</v>
      </c>
    </row>
  </sheetData>
  <pageMargins left="0.7" right="0.7" top="0.75" bottom="0.75" header="0.3" footer="0.3"/>
  <customProperties>
    <customPr name="%locator_row%" r:id="rId1"/>
  </customPropertie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9"/>
  <sheetViews>
    <sheetView workbookViewId="0"/>
  </sheetViews>
  <sheetFormatPr defaultRowHeight="15" x14ac:dyDescent="0.25"/>
  <cols>
    <col min="1" max="1" width="39.140625" bestFit="1" customWidth="1"/>
    <col min="2" max="2" width="30.7109375" bestFit="1" customWidth="1"/>
  </cols>
  <sheetData>
    <row r="1" spans="1:2" x14ac:dyDescent="0.25">
      <c r="A1" t="s">
        <v>191</v>
      </c>
      <c r="B1" t="str">
        <f>A1&amp;".value="""""</f>
        <v>SERIAL_NUM_PAYMENT.value=""</v>
      </c>
    </row>
    <row r="2" spans="1:2" x14ac:dyDescent="0.25">
      <c r="A2" t="s">
        <v>192</v>
      </c>
      <c r="B2" t="str">
        <f t="shared" ref="B2:B39" si="0">A2&amp;".value="""""</f>
        <v>DEPT_NAME_PAYMENT.value=""</v>
      </c>
    </row>
    <row r="3" spans="1:2" x14ac:dyDescent="0.25">
      <c r="A3" t="s">
        <v>193</v>
      </c>
      <c r="B3" t="str">
        <f t="shared" si="0"/>
        <v>DATE_PAYMENT.value=""</v>
      </c>
    </row>
    <row r="4" spans="1:2" x14ac:dyDescent="0.25">
      <c r="A4" t="s">
        <v>128</v>
      </c>
      <c r="B4" t="str">
        <f t="shared" si="0"/>
        <v>COMPANY_PAYMENT.value=""</v>
      </c>
    </row>
    <row r="5" spans="1:2" x14ac:dyDescent="0.25">
      <c r="A5" t="s">
        <v>129</v>
      </c>
      <c r="B5" t="str">
        <f t="shared" si="0"/>
        <v>PROJ_NAME_PAYMENT.value=""</v>
      </c>
    </row>
    <row r="6" spans="1:2" x14ac:dyDescent="0.25">
      <c r="A6" t="s">
        <v>130</v>
      </c>
      <c r="B6" t="str">
        <f t="shared" si="0"/>
        <v>NAME_VENDOR_PAYMENT.value=""</v>
      </c>
    </row>
    <row r="7" spans="1:2" x14ac:dyDescent="0.25">
      <c r="A7" t="s">
        <v>131</v>
      </c>
      <c r="B7" t="str">
        <f t="shared" si="0"/>
        <v>PO_NAMENUM_PAYMENT.value=""</v>
      </c>
    </row>
    <row r="8" spans="1:2" x14ac:dyDescent="0.25">
      <c r="A8" t="s">
        <v>132</v>
      </c>
      <c r="B8" t="str">
        <f t="shared" si="0"/>
        <v>PO_DATE.value=""</v>
      </c>
    </row>
    <row r="9" spans="1:2" x14ac:dyDescent="0.25">
      <c r="A9" t="s">
        <v>133</v>
      </c>
      <c r="B9" t="str">
        <f t="shared" si="0"/>
        <v>INVOICE_NAMENUM_PAYMENT.value=""</v>
      </c>
    </row>
    <row r="10" spans="1:2" x14ac:dyDescent="0.25">
      <c r="A10" t="s">
        <v>134</v>
      </c>
      <c r="B10" t="str">
        <f t="shared" si="0"/>
        <v>INVOICE_DATE.value=""</v>
      </c>
    </row>
    <row r="11" spans="1:2" x14ac:dyDescent="0.25">
      <c r="A11" t="s">
        <v>135</v>
      </c>
      <c r="B11" t="str">
        <f t="shared" si="0"/>
        <v>GRN_NAMENUM_PAYMENT.value=""</v>
      </c>
    </row>
    <row r="12" spans="1:2" x14ac:dyDescent="0.25">
      <c r="A12" t="s">
        <v>136</v>
      </c>
      <c r="B12" t="str">
        <f t="shared" si="0"/>
        <v>GRN_DATE.value=""</v>
      </c>
    </row>
    <row r="13" spans="1:2" x14ac:dyDescent="0.25">
      <c r="A13" t="s">
        <v>137</v>
      </c>
      <c r="B13" t="str">
        <f t="shared" si="0"/>
        <v>PAYMENT_DUE_PAYMENT.value=""</v>
      </c>
    </row>
    <row r="14" spans="1:2" x14ac:dyDescent="0.25">
      <c r="A14" t="s">
        <v>138</v>
      </c>
      <c r="B14" t="str">
        <f t="shared" si="0"/>
        <v>PO_VALUE_AMOUNT_PAYMENT.value=""</v>
      </c>
    </row>
    <row r="15" spans="1:2" x14ac:dyDescent="0.25">
      <c r="A15" t="s">
        <v>139</v>
      </c>
      <c r="B15" t="str">
        <f t="shared" si="0"/>
        <v>PO_VALUE_REMARKS_PAYMENT.value=""</v>
      </c>
    </row>
    <row r="16" spans="1:2" x14ac:dyDescent="0.25">
      <c r="A16" t="s">
        <v>140</v>
      </c>
      <c r="B16" t="str">
        <f t="shared" si="0"/>
        <v>CUMULATIVE_VALUE_AMOUNT_PAYMENT.value=""</v>
      </c>
    </row>
    <row r="17" spans="1:2" x14ac:dyDescent="0.25">
      <c r="A17" t="s">
        <v>141</v>
      </c>
      <c r="B17" t="str">
        <f t="shared" si="0"/>
        <v>CUMULATIVE_VALUE_REMARKS_PAYMENT.value=""</v>
      </c>
    </row>
    <row r="18" spans="1:2" x14ac:dyDescent="0.25">
      <c r="A18" t="s">
        <v>142</v>
      </c>
      <c r="B18" t="str">
        <f t="shared" si="0"/>
        <v>CURRENT_BILL_AMOUNT_PAYMENT.value=""</v>
      </c>
    </row>
    <row r="19" spans="1:2" x14ac:dyDescent="0.25">
      <c r="A19" t="s">
        <v>143</v>
      </c>
      <c r="B19" t="str">
        <f t="shared" si="0"/>
        <v>CURRENT_BILL_REMARKS_PAYMENT.value=""</v>
      </c>
    </row>
    <row r="20" spans="1:2" x14ac:dyDescent="0.25">
      <c r="A20" t="s">
        <v>144</v>
      </c>
      <c r="B20" t="str">
        <f t="shared" si="0"/>
        <v>LESS_DEDUCTIONS_AMOUNT_PAYMENT.value=""</v>
      </c>
    </row>
    <row r="21" spans="1:2" x14ac:dyDescent="0.25">
      <c r="A21" t="s">
        <v>145</v>
      </c>
      <c r="B21" t="str">
        <f t="shared" si="0"/>
        <v>LESS_DEDUCTIONS_REMARKS_PAYMENT.value=""</v>
      </c>
    </row>
    <row r="22" spans="1:2" x14ac:dyDescent="0.25">
      <c r="A22" t="s">
        <v>146</v>
      </c>
      <c r="B22" t="str">
        <f t="shared" si="0"/>
        <v>ADVANCE_AMOUNT_PAYMENT.value=""</v>
      </c>
    </row>
    <row r="23" spans="1:2" x14ac:dyDescent="0.25">
      <c r="A23" t="s">
        <v>147</v>
      </c>
      <c r="B23" t="str">
        <f t="shared" si="0"/>
        <v>ADVANCE_REMARKS_PAYMENT.value=""</v>
      </c>
    </row>
    <row r="24" spans="1:2" x14ac:dyDescent="0.25">
      <c r="A24" t="s">
        <v>148</v>
      </c>
      <c r="B24" t="str">
        <f t="shared" si="0"/>
        <v>RETENTION_MONEY_AMOUNT_PAYMENT.value=""</v>
      </c>
    </row>
    <row r="25" spans="1:2" x14ac:dyDescent="0.25">
      <c r="A25" t="s">
        <v>149</v>
      </c>
      <c r="B25" t="str">
        <f t="shared" si="0"/>
        <v>RETENTION_MONEY_REMARKS_PAYMENT.value=""</v>
      </c>
    </row>
    <row r="26" spans="1:2" x14ac:dyDescent="0.25">
      <c r="A26" t="s">
        <v>150</v>
      </c>
      <c r="B26" t="str">
        <f t="shared" si="0"/>
        <v>OTHER_RECOVERIES_AMOUNT_PAYMENT.value=""</v>
      </c>
    </row>
    <row r="27" spans="1:2" x14ac:dyDescent="0.25">
      <c r="A27" t="s">
        <v>151</v>
      </c>
      <c r="B27" t="str">
        <f t="shared" si="0"/>
        <v>OTHER_RECOVERIES_REMARKS_PAYMENT.value=""</v>
      </c>
    </row>
    <row r="28" spans="1:2" x14ac:dyDescent="0.25">
      <c r="A28" t="s">
        <v>152</v>
      </c>
      <c r="B28" t="str">
        <f t="shared" si="0"/>
        <v>DEBIT_NOTE_AMOUNT_PAYMENT.value=""</v>
      </c>
    </row>
    <row r="29" spans="1:2" x14ac:dyDescent="0.25">
      <c r="A29" t="s">
        <v>153</v>
      </c>
      <c r="B29" t="str">
        <f t="shared" si="0"/>
        <v>DEBIT_NOTE_REMARKS_PAYMENT.value=""</v>
      </c>
    </row>
    <row r="30" spans="1:2" x14ac:dyDescent="0.25">
      <c r="A30" t="s">
        <v>154</v>
      </c>
      <c r="B30" t="str">
        <f t="shared" si="0"/>
        <v>NETPAYABLE_AMOUNT_PAYMENT.value=""</v>
      </c>
    </row>
    <row r="31" spans="1:2" x14ac:dyDescent="0.25">
      <c r="A31" t="s">
        <v>155</v>
      </c>
      <c r="B31" t="str">
        <f t="shared" si="0"/>
        <v>NETPAYABLE_REMARKS_PAYMENT.value=""</v>
      </c>
    </row>
    <row r="32" spans="1:2" x14ac:dyDescent="0.25">
      <c r="A32" t="s">
        <v>156</v>
      </c>
      <c r="B32" t="str">
        <f t="shared" si="0"/>
        <v>ORIGINAL_INVOICE_CB.value=""</v>
      </c>
    </row>
    <row r="33" spans="1:2" x14ac:dyDescent="0.25">
      <c r="A33" t="s">
        <v>157</v>
      </c>
      <c r="B33" t="str">
        <f t="shared" si="0"/>
        <v>GRN_COPY_CB.value=""</v>
      </c>
    </row>
    <row r="34" spans="1:2" x14ac:dyDescent="0.25">
      <c r="A34" t="s">
        <v>158</v>
      </c>
      <c r="B34" t="str">
        <f t="shared" si="0"/>
        <v>DELIVERY_CHALLAN_CB.value=""</v>
      </c>
    </row>
    <row r="35" spans="1:2" x14ac:dyDescent="0.25">
      <c r="A35" t="s">
        <v>159</v>
      </c>
      <c r="B35" t="str">
        <f t="shared" si="0"/>
        <v>PO_COPY_CB.value=""</v>
      </c>
    </row>
    <row r="36" spans="1:2" x14ac:dyDescent="0.25">
      <c r="A36" t="s">
        <v>160</v>
      </c>
      <c r="B36" t="str">
        <f t="shared" si="0"/>
        <v>INDENT_APPROVAL_CB.value=""</v>
      </c>
    </row>
    <row r="37" spans="1:2" x14ac:dyDescent="0.25">
      <c r="A37" t="s">
        <v>161</v>
      </c>
      <c r="B37" t="str">
        <f t="shared" si="0"/>
        <v>DEBIT_NOTES_CB.value=""</v>
      </c>
    </row>
    <row r="38" spans="1:2" x14ac:dyDescent="0.25">
      <c r="A38" t="s">
        <v>162</v>
      </c>
      <c r="B38" t="str">
        <f t="shared" si="0"/>
        <v>DELIVERY_PROOF_CB.value=""</v>
      </c>
    </row>
    <row r="39" spans="1:2" x14ac:dyDescent="0.25">
      <c r="A39" t="s">
        <v>163</v>
      </c>
      <c r="B39" t="str">
        <f t="shared" si="0"/>
        <v>OTHER_DOCS_CB.value=""</v>
      </c>
    </row>
  </sheetData>
  <pageMargins left="0.7" right="0.7" top="0.75" bottom="0.75" header="0.3" footer="0.3"/>
  <customProperties>
    <customPr name="%locator_row%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Vendor Creation Form</vt:lpstr>
      <vt:lpstr>VENDOR DB</vt:lpstr>
      <vt:lpstr>Vendor Payment Form</vt:lpstr>
      <vt:lpstr>PAYMENT FORM DB</vt:lpstr>
      <vt:lpstr>Deleted Records</vt:lpstr>
      <vt:lpstr>Master</vt:lpstr>
      <vt:lpstr>Sheet2</vt:lpstr>
      <vt:lpstr>Dept</vt:lpstr>
      <vt:lpstr>'Vendor Creation Form'!Locator</vt:lpstr>
      <vt:lpstr>'Vendor Payment Form'!Locator</vt:lpstr>
      <vt:lpstr>Locator</vt:lpstr>
      <vt:lpstr>VENDOR_GROUPING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2019-10-31T10:16:33Z</cp:lastPrinted>
  <dcterms:created xsi:type="dcterms:W3CDTF">2019-04-02T07:07:38Z</dcterms:created>
  <dcterms:modified xsi:type="dcterms:W3CDTF">2019-11-05T08:52:22Z</dcterms:modified>
</cp:coreProperties>
</file>